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vlo_Vilenchyk/Documents/SAS/SRS-SSO/Documents/"/>
    </mc:Choice>
  </mc:AlternateContent>
  <xr:revisionPtr revIDLastSave="0" documentId="13_ncr:1_{6C05486E-9E8A-5E46-90CE-64970FAAE10C}" xr6:coauthVersionLast="47" xr6:coauthVersionMax="47" xr10:uidLastSave="{00000000-0000-0000-0000-000000000000}"/>
  <bookViews>
    <workbookView xWindow="-20" yWindow="760" windowWidth="34560" windowHeight="20100" xr2:uid="{00000000-000D-0000-FFFF-FFFF00000000}"/>
  </bookViews>
  <sheets>
    <sheet name="Analyze" sheetId="1" r:id="rId1"/>
    <sheet name="Design" sheetId="2" r:id="rId2"/>
    <sheet name="Build" sheetId="3" r:id="rId3"/>
    <sheet name="Test" sheetId="4" r:id="rId4"/>
    <sheet name="Deploy" sheetId="5" r:id="rId5"/>
    <sheet name="Monito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C112" i="1"/>
  <c r="C111" i="1"/>
  <c r="C110" i="1"/>
  <c r="C109" i="1"/>
  <c r="C108" i="1"/>
  <c r="C107" i="1"/>
  <c r="C106" i="1"/>
  <c r="C102" i="1"/>
  <c r="C101" i="1"/>
  <c r="C100" i="1"/>
  <c r="C98" i="1"/>
  <c r="A97" i="1"/>
  <c r="C96" i="1"/>
  <c r="A95" i="1"/>
  <c r="C94" i="1"/>
  <c r="C93" i="1"/>
  <c r="C92" i="1"/>
  <c r="C91" i="1"/>
  <c r="C90" i="1"/>
  <c r="A89" i="1"/>
  <c r="C88" i="1"/>
  <c r="C87" i="1"/>
  <c r="A86" i="1"/>
  <c r="C85" i="1"/>
  <c r="C84" i="1"/>
  <c r="C83" i="1"/>
  <c r="C82" i="1"/>
  <c r="C81" i="1"/>
  <c r="C80" i="1"/>
  <c r="C79" i="1"/>
  <c r="C78" i="1"/>
  <c r="C77" i="1"/>
  <c r="C76" i="1"/>
  <c r="C75" i="1"/>
  <c r="C74" i="1"/>
  <c r="A73" i="1"/>
  <c r="C70" i="1"/>
  <c r="C69" i="1"/>
  <c r="C68" i="1"/>
  <c r="C67" i="1"/>
  <c r="C66" i="1"/>
  <c r="C65" i="1"/>
  <c r="C64" i="1"/>
  <c r="A63" i="1"/>
  <c r="C62" i="1"/>
  <c r="A61" i="1"/>
  <c r="C60" i="1"/>
  <c r="C57" i="1"/>
  <c r="C56" i="1"/>
  <c r="A55" i="1"/>
  <c r="C52" i="1"/>
  <c r="C51" i="1"/>
  <c r="C50" i="1"/>
  <c r="C49" i="1"/>
  <c r="A48" i="1"/>
  <c r="C47" i="1"/>
  <c r="C46" i="1"/>
  <c r="A45" i="1"/>
  <c r="C44" i="1"/>
  <c r="C43" i="1"/>
  <c r="C42" i="1"/>
  <c r="C41" i="1"/>
  <c r="C40" i="1"/>
  <c r="A39" i="1"/>
  <c r="C36" i="1"/>
  <c r="C35" i="1"/>
  <c r="C34" i="1"/>
  <c r="C33" i="1"/>
  <c r="C32" i="1"/>
  <c r="C31" i="1"/>
  <c r="C30" i="1"/>
  <c r="C29" i="1"/>
  <c r="C28" i="1"/>
  <c r="A27" i="1"/>
  <c r="C26" i="1"/>
  <c r="C25" i="1"/>
  <c r="C24" i="1"/>
  <c r="A23" i="1"/>
  <c r="C22" i="1"/>
  <c r="A21" i="1"/>
  <c r="C9" i="6"/>
  <c r="C8" i="6"/>
  <c r="C7" i="6"/>
  <c r="C6" i="6"/>
  <c r="C5" i="6"/>
  <c r="C4" i="6"/>
  <c r="C3" i="6"/>
  <c r="C31" i="5"/>
  <c r="C30" i="5"/>
  <c r="C29" i="5"/>
  <c r="C27" i="5"/>
  <c r="A26" i="5"/>
  <c r="C25" i="5"/>
  <c r="A24" i="5"/>
  <c r="C23" i="5"/>
  <c r="C22" i="5"/>
  <c r="C21" i="5"/>
  <c r="C20" i="5"/>
  <c r="C19" i="5"/>
  <c r="A18" i="5"/>
  <c r="C17" i="5"/>
  <c r="C16" i="5"/>
  <c r="A15" i="5"/>
  <c r="C14" i="5"/>
  <c r="C13" i="5"/>
  <c r="C12" i="5"/>
  <c r="C11" i="5"/>
  <c r="C10" i="5"/>
  <c r="C9" i="5"/>
  <c r="C8" i="5"/>
  <c r="C7" i="5"/>
  <c r="C6" i="5"/>
  <c r="C5" i="5"/>
  <c r="C4" i="5"/>
  <c r="C3" i="5"/>
  <c r="A2" i="5"/>
  <c r="C17" i="4"/>
  <c r="C16" i="4"/>
  <c r="C15" i="4"/>
  <c r="C14" i="4"/>
  <c r="C13" i="4"/>
  <c r="C12" i="4"/>
  <c r="C11" i="4"/>
  <c r="A10" i="4"/>
  <c r="C9" i="4"/>
  <c r="A8" i="4"/>
  <c r="C7" i="4"/>
  <c r="C4" i="4"/>
  <c r="C3" i="4"/>
  <c r="A2" i="4"/>
  <c r="C15" i="3"/>
  <c r="C14" i="3"/>
  <c r="C13" i="3"/>
  <c r="C12" i="3"/>
  <c r="A11" i="3"/>
  <c r="C10" i="3"/>
  <c r="C9" i="3"/>
  <c r="A8" i="3"/>
  <c r="C7" i="3"/>
  <c r="C6" i="3"/>
  <c r="C5" i="3"/>
  <c r="C4" i="3"/>
  <c r="C3" i="3"/>
  <c r="A2" i="3"/>
  <c r="C17" i="2"/>
  <c r="C16" i="2"/>
  <c r="C15" i="2"/>
  <c r="C14" i="2"/>
  <c r="C13" i="2"/>
  <c r="C12" i="2"/>
  <c r="C11" i="2"/>
  <c r="C10" i="2"/>
  <c r="C9" i="2"/>
  <c r="A8" i="2"/>
  <c r="C7" i="2"/>
  <c r="C6" i="2"/>
  <c r="C5" i="2"/>
  <c r="A4" i="2"/>
  <c r="C3" i="2"/>
  <c r="A2" i="2"/>
  <c r="C18" i="1"/>
  <c r="A17" i="1"/>
  <c r="C16" i="1"/>
  <c r="C15" i="1"/>
  <c r="C14" i="1"/>
  <c r="C13" i="1"/>
  <c r="C12" i="1"/>
  <c r="A11" i="1"/>
  <c r="C10" i="1"/>
  <c r="C9" i="1"/>
  <c r="C8" i="1"/>
  <c r="C7" i="1"/>
  <c r="C6" i="1"/>
  <c r="C5" i="1"/>
  <c r="C4" i="1"/>
  <c r="A3" i="1"/>
</calcChain>
</file>

<file path=xl/sharedStrings.xml><?xml version="1.0" encoding="utf-8"?>
<sst xmlns="http://schemas.openxmlformats.org/spreadsheetml/2006/main" count="389" uniqueCount="251">
  <si>
    <t>#</t>
  </si>
  <si>
    <t>Item</t>
  </si>
  <si>
    <t>Guidance</t>
  </si>
  <si>
    <t>Completed (or NA)</t>
  </si>
  <si>
    <t>Notes</t>
  </si>
  <si>
    <t>AC10</t>
  </si>
  <si>
    <t>AC20</t>
  </si>
  <si>
    <t>AC30</t>
  </si>
  <si>
    <t>AC40</t>
  </si>
  <si>
    <t>AC50</t>
  </si>
  <si>
    <r>
      <rPr>
        <b/>
        <sz val="10"/>
        <rFont val="Arial"/>
        <family val="2"/>
      </rPr>
      <t xml:space="preserve">Custom domain naming
</t>
    </r>
    <r>
      <rPr>
        <i/>
        <sz val="10"/>
        <rFont val="Arial"/>
        <family val="2"/>
      </rPr>
      <t>Apply custom domain naming to each Auth0 tenant to provide branding and security benefits</t>
    </r>
  </si>
  <si>
    <t>AC60</t>
  </si>
  <si>
    <t>Associate tenants with your account
Contact your Auth0 representative or the Auth0 Support Center (at http://bit.ly/2V5mViG to ensure all tenants are associated with your Auth0 contractual agreement for feature permission parity</t>
  </si>
  <si>
    <t>AC70</t>
  </si>
  <si>
    <t>AC100</t>
  </si>
  <si>
    <t>AC110</t>
  </si>
  <si>
    <t>AC120</t>
  </si>
  <si>
    <r>
      <rPr>
        <b/>
        <sz val="10"/>
        <rFont val="Arial"/>
        <family val="2"/>
      </rPr>
      <t xml:space="preserve">Existing identity storage
</t>
    </r>
    <r>
      <rPr>
        <sz val="10"/>
        <color rgb="FF000000"/>
        <rFont val="Arial"/>
        <family val="2"/>
      </rPr>
      <t>Review use of Auth0 to provide user identification directly from your existing (legacy) identity store</t>
    </r>
  </si>
  <si>
    <t>AC130</t>
  </si>
  <si>
    <t>AC140</t>
  </si>
  <si>
    <t>AC200</t>
  </si>
  <si>
    <t>DC10</t>
  </si>
  <si>
    <t>DC100</t>
  </si>
  <si>
    <r>
      <rPr>
        <b/>
        <sz val="10"/>
        <rFont val="Arial"/>
        <family val="2"/>
      </rPr>
      <t xml:space="preserve">User self sign up
</t>
    </r>
    <r>
      <rPr>
        <sz val="10"/>
        <color rgb="FF000000"/>
        <rFont val="Arial"/>
        <family val="2"/>
      </rPr>
      <t>Leverage Auth0 database connection for storing the user id, password, and (optional) username information collected during the sign-up process</t>
    </r>
  </si>
  <si>
    <t>DC110</t>
  </si>
  <si>
    <r>
      <rPr>
        <b/>
        <sz val="10"/>
        <rFont val="Arial"/>
        <family val="2"/>
      </rPr>
      <t xml:space="preserve">User migration
</t>
    </r>
    <r>
      <rPr>
        <sz val="10"/>
        <color rgb="FF000000"/>
        <rFont val="Arial"/>
        <family val="2"/>
      </rPr>
      <t>Use Auth0 database connection to provide a secure Auth0 hosted replacement for your legacy identity store (not applicable if you will not be migrating users)</t>
    </r>
  </si>
  <si>
    <t>DC120</t>
  </si>
  <si>
    <t>DC200</t>
  </si>
  <si>
    <r>
      <t xml:space="preserve">Application integration
</t>
    </r>
    <r>
      <rPr>
        <i/>
        <sz val="10"/>
        <rFont val="Arial"/>
        <family val="2"/>
      </rPr>
      <t>Follow the Quickstart that best aligns with your technology stack in order to obtain design guidance for your specific application.</t>
    </r>
  </si>
  <si>
    <t>DC220</t>
  </si>
  <si>
    <r>
      <t xml:space="preserve">Universal Login
</t>
    </r>
    <r>
      <rPr>
        <i/>
        <sz val="10"/>
        <rFont val="Arial"/>
        <family val="2"/>
      </rPr>
      <t>The most secure way to authenticate users via use of browser redirect workflow</t>
    </r>
  </si>
  <si>
    <t>DC230</t>
  </si>
  <si>
    <r>
      <t xml:space="preserve">Universal Login customization
</t>
    </r>
    <r>
      <rPr>
        <i/>
        <sz val="10"/>
        <rFont val="Arial"/>
        <family val="2"/>
      </rPr>
      <t>Simple customization as well as advanced customization provides guidance on a range of capabilities that support custom branding and other UI design requirements</t>
    </r>
  </si>
  <si>
    <t>DC240</t>
  </si>
  <si>
    <r>
      <t xml:space="preserve">Password reset customization
</t>
    </r>
    <r>
      <rPr>
        <i/>
        <sz val="10"/>
        <rFont val="Arial"/>
        <family val="2"/>
      </rPr>
      <t>Provide Change Password customization to suit your organisation’s branding as well as other UI design requirements</t>
    </r>
  </si>
  <si>
    <t>DC250</t>
  </si>
  <si>
    <r>
      <t xml:space="preserve">Guardian Multi-factor page customization
</t>
    </r>
    <r>
      <rPr>
        <i/>
        <sz val="10"/>
        <rFont val="Arial"/>
        <family val="2"/>
      </rPr>
      <t>Customize the Guardian Mult-factor page (not applicable if you are not using multi-factor authentication)</t>
    </r>
  </si>
  <si>
    <t>DC260</t>
  </si>
  <si>
    <r>
      <t xml:space="preserve">Social connection registration
</t>
    </r>
    <r>
      <rPr>
        <i/>
        <sz val="10"/>
        <rFont val="Arial"/>
        <family val="2"/>
      </rPr>
      <t>Register for each social identity provider to mitigate limitations of out-of-box Auth0 Developer Keys (not applicable if you are not using social connections)</t>
    </r>
  </si>
  <si>
    <t>DC270</t>
  </si>
  <si>
    <r>
      <t xml:space="preserve">Custom social connection
</t>
    </r>
    <r>
      <rPr>
        <i/>
        <sz val="10"/>
        <rFont val="Arial"/>
        <family val="2"/>
      </rPr>
      <t>Customize a connection for a ocial provider not supported out-of-box (not applicable if you are not using social connections)</t>
    </r>
  </si>
  <si>
    <t>DC280</t>
  </si>
  <si>
    <r>
      <t xml:space="preserve">Auth0 as a SAML service provider
</t>
    </r>
    <r>
      <rPr>
        <i/>
        <sz val="10"/>
        <rFont val="Arial"/>
        <family val="2"/>
      </rPr>
      <t>Review design considerations for using Auth0 as a SAML service provider (not applicable if you do not need to support a SAML service provider context)</t>
    </r>
  </si>
  <si>
    <t>BC10</t>
  </si>
  <si>
    <r>
      <rPr>
        <b/>
        <sz val="10"/>
        <rFont val="Arial"/>
        <family val="2"/>
      </rPr>
      <t xml:space="preserve">Rules best practice aligned
</t>
    </r>
    <r>
      <rPr>
        <i/>
        <sz val="10"/>
        <rFont val="Arial"/>
        <family val="2"/>
      </rPr>
      <t>Review Rule implementation for alignment with best practice guidance for configuration (not applicable if you are not using Rule Extensibility)</t>
    </r>
  </si>
  <si>
    <t>BC14</t>
  </si>
  <si>
    <r>
      <t xml:space="preserve">Hooks best practice aligned
</t>
    </r>
    <r>
      <rPr>
        <i/>
        <sz val="10"/>
        <rFont val="Arial"/>
        <family val="2"/>
      </rPr>
      <t xml:space="preserve">Review use of Auth0 Hook extensibility to further customize and extend Auth0's base product capabilities </t>
    </r>
  </si>
  <si>
    <t>BC16</t>
  </si>
  <si>
    <r>
      <t xml:space="preserve">Custom database scripts best practice aligned
</t>
    </r>
    <r>
      <rPr>
        <i/>
        <sz val="10"/>
        <rFont val="Arial"/>
        <family val="2"/>
      </rPr>
      <t>Review Custom Database Script implementation for alignment with best practice (not applicable if you are not using custom database or automatic user migration functionality)</t>
    </r>
  </si>
  <si>
    <t>BC30</t>
  </si>
  <si>
    <r>
      <rPr>
        <b/>
        <sz val="10"/>
        <rFont val="Arial"/>
        <family val="2"/>
      </rPr>
      <t>Real-time webtask logging</t>
    </r>
    <r>
      <rPr>
        <sz val="10"/>
        <color rgb="FF000000"/>
        <rFont val="Arial"/>
        <family val="2"/>
      </rPr>
      <t xml:space="preserve">
Enable real-time webtask logging for extensibility debugging (not applicable if you are not using Auth0 extensibility features such as Rules, Hooks or custom database)</t>
    </r>
  </si>
  <si>
    <t>BC40</t>
  </si>
  <si>
    <r>
      <rPr>
        <b/>
        <sz val="10"/>
        <rFont val="Arial"/>
        <family val="2"/>
      </rPr>
      <t>CI (Continuous Integration)</t>
    </r>
    <r>
      <rPr>
        <sz val="10"/>
        <color rgb="FF000000"/>
        <rFont val="Arial"/>
        <family val="2"/>
      </rPr>
      <t xml:space="preserve">
Regular integration and test Auth0 of custom extensibility (et-al) prior to automatic deployment (also applicable if you are not using a CI/CD pipeline)</t>
    </r>
  </si>
  <si>
    <t>BC100</t>
  </si>
  <si>
    <r>
      <rPr>
        <b/>
        <sz val="10"/>
        <rFont val="Arial"/>
        <family val="2"/>
      </rPr>
      <t xml:space="preserve">Custom database scripts best practice aligned
</t>
    </r>
    <r>
      <rPr>
        <sz val="10"/>
        <color rgb="FF000000"/>
        <rFont val="Arial"/>
        <family val="2"/>
      </rPr>
      <t>Review Custom Database Script implementation for alignment with best practice guidance (not applicable if you are not using custom database or automatic user migration functionality)</t>
    </r>
  </si>
  <si>
    <t>BC110</t>
  </si>
  <si>
    <r>
      <rPr>
        <b/>
        <sz val="10"/>
        <rFont val="Arial"/>
        <family val="2"/>
      </rPr>
      <t xml:space="preserve">Hooks best practice aligned
</t>
    </r>
    <r>
      <rPr>
        <sz val="10"/>
        <color rgb="FF000000"/>
        <rFont val="Arial"/>
        <family val="2"/>
      </rPr>
      <t>Implementation for Hooks aligned with best practice guidance provided here. Not applicable if you are not using either of the the Pre-User-Registration or the Post-User-Registration Hook extensibility points.</t>
    </r>
  </si>
  <si>
    <t>BC200</t>
  </si>
  <si>
    <t>BC210</t>
  </si>
  <si>
    <r>
      <t xml:space="preserve">Application isolation
</t>
    </r>
    <r>
      <rPr>
        <i/>
        <sz val="10"/>
        <rFont val="Arial"/>
        <family val="2"/>
      </rPr>
      <t>Review guidance for more information regarding application definitions in Auth0 and to mitigate reuse client identifiers or credentials across different applications</t>
    </r>
  </si>
  <si>
    <t>BC220</t>
  </si>
  <si>
    <r>
      <t xml:space="preserve">Auth0 Authentication SDK
</t>
    </r>
    <r>
      <rPr>
        <i/>
        <sz val="10"/>
        <rFont val="Arial"/>
        <family val="2"/>
      </rPr>
      <t>Follow guidance to make use of the Auth0 SDK that best aligns with your technology stack rather than calling the Auth0 Authentication API directly</t>
    </r>
  </si>
  <si>
    <t>BC230</t>
  </si>
  <si>
    <r>
      <t xml:space="preserve">Auth0 Authentication API rate limit handling
</t>
    </r>
    <r>
      <rPr>
        <i/>
        <sz val="10"/>
        <rFont val="Arial"/>
        <family val="2"/>
      </rPr>
      <t>Handling of HTTP Status Code 429s implemented and followed the guidance provided here concerning Auth0 Rate Limit metrics for the Authentication API</t>
    </r>
  </si>
  <si>
    <t>TC10</t>
  </si>
  <si>
    <r>
      <rPr>
        <b/>
        <sz val="10"/>
        <rFont val="Arial"/>
        <family val="2"/>
      </rPr>
      <t xml:space="preserve">Session lifetime limits for Single Sign On (SSO) configured
</t>
    </r>
    <r>
      <rPr>
        <i/>
        <sz val="10"/>
        <rFont val="Arial"/>
        <family val="2"/>
      </rPr>
      <t>Configure session lifetime limits for SSO</t>
    </r>
  </si>
  <si>
    <t>TC20</t>
  </si>
  <si>
    <r>
      <t xml:space="preserve">Tenant wide allowed logout URLs defined
</t>
    </r>
    <r>
      <rPr>
        <i/>
        <sz val="10"/>
        <rFont val="Arial"/>
        <family val="2"/>
      </rPr>
      <t xml:space="preserve">Specify logout redirect URLs and not defined as </t>
    </r>
    <r>
      <rPr>
        <i/>
        <sz val="10"/>
        <rFont val="Courier New"/>
        <family val="1"/>
      </rPr>
      <t>localhost</t>
    </r>
    <r>
      <rPr>
        <i/>
        <sz val="10"/>
        <rFont val="Arial"/>
        <family val="2"/>
      </rPr>
      <t xml:space="preserve"> (not mandatory, but it is a best practice recommendation to provide user logout functionality)</t>
    </r>
  </si>
  <si>
    <t>TC30</t>
  </si>
  <si>
    <r>
      <t xml:space="preserve">Tenant environment tag assigned
</t>
    </r>
    <r>
      <rPr>
        <i/>
        <sz val="10"/>
        <rFont val="Arial"/>
        <family val="2"/>
      </rPr>
      <t xml:space="preserve">Assign an environment tag for each tenant </t>
    </r>
  </si>
  <si>
    <t>Set the Environment</t>
  </si>
  <si>
    <t>TC35</t>
  </si>
  <si>
    <r>
      <rPr>
        <b/>
        <sz val="10"/>
        <rFont val="Arial"/>
        <family val="2"/>
      </rPr>
      <t xml:space="preserve">Tenant production checks run
</t>
    </r>
    <r>
      <rPr>
        <sz val="10"/>
        <color rgb="FF000000"/>
        <rFont val="Arial"/>
        <family val="2"/>
      </rPr>
      <t>Run automated tests on your production tenant configuration and address any issues raised (also applicable for non-production tenants)</t>
    </r>
  </si>
  <si>
    <t>How to Run Production Checks</t>
  </si>
  <si>
    <t>TC40</t>
  </si>
  <si>
    <r>
      <rPr>
        <b/>
        <sz val="10"/>
        <rFont val="Arial"/>
        <family val="2"/>
      </rPr>
      <t xml:space="preserve">Real-time webtask logging
</t>
    </r>
    <r>
      <rPr>
        <sz val="10"/>
        <color rgb="FF000000"/>
        <rFont val="Arial"/>
        <family val="2"/>
      </rPr>
      <t>Enable real-time webtask logging for extensibility debugging (not applicable if you are not using Auth0 extensibility features such as Rules, Hooks or custom database)</t>
    </r>
  </si>
  <si>
    <t>TC200</t>
  </si>
  <si>
    <r>
      <rPr>
        <b/>
        <sz val="10"/>
        <rFont val="Arial"/>
        <family val="2"/>
      </rPr>
      <t xml:space="preserve">Allowed callback URLs defined
</t>
    </r>
    <r>
      <rPr>
        <sz val="10"/>
        <color rgb="FF000000"/>
        <rFont val="Arial"/>
        <family val="2"/>
      </rPr>
      <t xml:space="preserve">Specify redirect URLs and not defined as </t>
    </r>
    <r>
      <rPr>
        <sz val="10"/>
        <rFont val="Courier New"/>
        <family val="1"/>
      </rPr>
      <t>localhost</t>
    </r>
    <r>
      <rPr>
        <sz val="10"/>
        <color rgb="FF000000"/>
        <rFont val="Arial"/>
        <family val="2"/>
      </rPr>
      <t>.</t>
    </r>
  </si>
  <si>
    <t>TC700</t>
  </si>
  <si>
    <r>
      <rPr>
        <b/>
        <sz val="10"/>
        <rFont val="Arial"/>
        <family val="2"/>
      </rPr>
      <t>Performance test</t>
    </r>
    <r>
      <rPr>
        <sz val="10"/>
        <color rgb="FF000000"/>
        <rFont val="Arial"/>
        <family val="2"/>
      </rPr>
      <t xml:space="preserve">
Test performance to uncover issues with implementation</t>
    </r>
  </si>
  <si>
    <t>TC705</t>
  </si>
  <si>
    <r>
      <rPr>
        <sz val="9"/>
        <rFont val="Arial"/>
        <family val="2"/>
      </rPr>
      <t xml:space="preserve">Performance test tooling
</t>
    </r>
    <r>
      <rPr>
        <i/>
        <sz val="9"/>
        <rFont val="Arial"/>
        <family val="2"/>
      </rPr>
      <t>Review third-party tools for performance related testing</t>
    </r>
  </si>
  <si>
    <t>TC710</t>
  </si>
  <si>
    <r>
      <rPr>
        <b/>
        <sz val="10"/>
        <rFont val="Arial"/>
        <family val="2"/>
      </rPr>
      <t>Load test scheduling</t>
    </r>
    <r>
      <rPr>
        <sz val="10"/>
        <color rgb="FF000000"/>
        <rFont val="Arial"/>
        <family val="2"/>
      </rPr>
      <t xml:space="preserve">
</t>
    </r>
    <r>
      <rPr>
        <i/>
        <sz val="10"/>
        <rFont val="Arial"/>
        <family val="2"/>
      </rPr>
      <t>Schedule performance load testing in accordance with Auth0 load testing policy (not applicable if you do not need to load test)</t>
    </r>
  </si>
  <si>
    <t>TC715</t>
  </si>
  <si>
    <r>
      <rPr>
        <b/>
        <sz val="10"/>
        <rFont val="Arial"/>
        <family val="2"/>
      </rPr>
      <t>Load test</t>
    </r>
    <r>
      <rPr>
        <sz val="10"/>
        <color rgb="FF000000"/>
        <rFont val="Arial"/>
        <family val="2"/>
      </rPr>
      <t xml:space="preserve">
</t>
    </r>
    <r>
      <rPr>
        <i/>
        <sz val="10"/>
        <rFont val="Arial"/>
        <family val="2"/>
      </rPr>
      <t>Perform performance load testing in accordance with Auth0 load testing policy and requirements (not applicable if you do not need to load test)</t>
    </r>
  </si>
  <si>
    <t>TC720</t>
  </si>
  <si>
    <r>
      <rPr>
        <b/>
        <sz val="10"/>
        <rFont val="Arial"/>
        <family val="2"/>
      </rPr>
      <t xml:space="preserve">Mock test Authentication API
</t>
    </r>
    <r>
      <rPr>
        <i/>
        <sz val="10"/>
        <rFont val="Arial"/>
        <family val="2"/>
      </rPr>
      <t>Mock test as a supplement to mitigate restrictions associated with Auth0 load testing (recommended but not mandatory if you do not need to load test)</t>
    </r>
  </si>
  <si>
    <t>TC725</t>
  </si>
  <si>
    <r>
      <rPr>
        <b/>
        <sz val="10"/>
        <rFont val="Arial"/>
        <family val="2"/>
      </rPr>
      <t xml:space="preserve">Mock test Management API
</t>
    </r>
    <r>
      <rPr>
        <i/>
        <sz val="10"/>
        <rFont val="Arial"/>
        <family val="2"/>
      </rPr>
      <t>Mock test for Management API calls as a supplement to mitigate restrictions associated with Auth0 load testing (not applicable if no independent calls are made to the Auth0 Management API)</t>
    </r>
  </si>
  <si>
    <t>DEC10</t>
  </si>
  <si>
    <r>
      <rPr>
        <b/>
        <sz val="10"/>
        <rFont val="Arial"/>
        <family val="2"/>
      </rPr>
      <t xml:space="preserve">Tenant administrators defined
</t>
    </r>
    <r>
      <rPr>
        <i/>
        <sz val="10"/>
        <rFont val="Arial"/>
        <family val="2"/>
      </rPr>
      <t>Provision tenant administrators</t>
    </r>
  </si>
  <si>
    <t>DEC15</t>
  </si>
  <si>
    <r>
      <t xml:space="preserve">Tenant administration delegation defined
</t>
    </r>
    <r>
      <rPr>
        <i/>
        <sz val="10"/>
        <rFont val="Arial"/>
        <family val="2"/>
      </rPr>
      <t>Provision delegated tenant administrator (not applicable if you’re not using tenant Delegated Administration)</t>
    </r>
  </si>
  <si>
    <t>DEC17</t>
  </si>
  <si>
    <r>
      <t xml:space="preserve">MFA for tenant administrators enabled
</t>
    </r>
    <r>
      <rPr>
        <i/>
        <sz val="10"/>
        <rFont val="Arial"/>
        <family val="2"/>
      </rPr>
      <t xml:space="preserve">Enroll tenant administrators for MFA (Multi-factor Authentication) </t>
    </r>
  </si>
  <si>
    <t>DEC20</t>
  </si>
  <si>
    <r>
      <rPr>
        <b/>
        <sz val="10"/>
        <rFont val="Arial"/>
        <family val="2"/>
      </rPr>
      <t xml:space="preserve">Support URL configured
</t>
    </r>
    <r>
      <rPr>
        <sz val="10"/>
        <color rgb="FF000000"/>
        <rFont val="Arial"/>
        <family val="2"/>
      </rPr>
      <t>Configure the URL for your company/organization support page and as a best practice for your production tenant deployment</t>
    </r>
  </si>
  <si>
    <t>DEC25</t>
  </si>
  <si>
    <r>
      <rPr>
        <b/>
        <sz val="10"/>
        <rFont val="Arial"/>
        <family val="2"/>
      </rPr>
      <t xml:space="preserve">Support email configured
</t>
    </r>
    <r>
      <rPr>
        <sz val="10"/>
        <color rgb="FF000000"/>
        <rFont val="Arial"/>
        <family val="2"/>
      </rPr>
      <t>Configure the email address used to contact your company/organization support team and as a best practice for your production tenant deployment</t>
    </r>
  </si>
  <si>
    <t>DEC30</t>
  </si>
  <si>
    <t>Session lifetime limits for SSO configured
Configure session lifetime limits for SSO</t>
  </si>
  <si>
    <t>DEC40</t>
  </si>
  <si>
    <r>
      <rPr>
        <sz val="10"/>
        <rFont val="Arial"/>
        <family val="2"/>
      </rPr>
      <t>Tenant wide allowed logout URLs defined</t>
    </r>
    <r>
      <rPr>
        <sz val="10"/>
        <color rgb="FF000000"/>
        <rFont val="Arial"/>
        <family val="2"/>
      </rPr>
      <t xml:space="preserve">
</t>
    </r>
    <r>
      <rPr>
        <sz val="10"/>
        <rFont val="Arial"/>
        <family val="2"/>
      </rPr>
      <t xml:space="preserve">Specify logout redirect URLs and not defined as </t>
    </r>
    <r>
      <rPr>
        <sz val="10"/>
        <color rgb="FF000000"/>
        <rFont val="Arial"/>
        <family val="2"/>
      </rPr>
      <t>localhost</t>
    </r>
    <r>
      <rPr>
        <sz val="10"/>
        <rFont val="Arial"/>
        <family val="2"/>
      </rPr>
      <t xml:space="preserve"> (not mandatory but recommended)</t>
    </r>
  </si>
  <si>
    <t>DEC50</t>
  </si>
  <si>
    <r>
      <rPr>
        <b/>
        <sz val="10"/>
        <rFont val="Arial"/>
        <family val="2"/>
      </rPr>
      <t xml:space="preserve">Tenant environment tag assigned
</t>
    </r>
    <r>
      <rPr>
        <sz val="10"/>
        <color rgb="FF000000"/>
        <rFont val="Arial"/>
        <family val="2"/>
      </rPr>
      <t>Assign environment tag for each tenant</t>
    </r>
  </si>
  <si>
    <t>DEC55</t>
  </si>
  <si>
    <r>
      <t xml:space="preserve">Tenant production checks run
</t>
    </r>
    <r>
      <rPr>
        <i/>
        <sz val="10"/>
        <rFont val="Arial"/>
        <family val="2"/>
      </rPr>
      <t>Run automated tests on production tenant configuration and address any issues raised (also applicable for non-production tenants)</t>
    </r>
  </si>
  <si>
    <t>DEC57</t>
  </si>
  <si>
    <r>
      <rPr>
        <b/>
        <sz val="10"/>
        <rFont val="Arial"/>
        <family val="2"/>
      </rPr>
      <t xml:space="preserve">Tenant production checks best practice aligned
</t>
    </r>
    <r>
      <rPr>
        <sz val="10"/>
        <color rgb="FF000000"/>
        <rFont val="Arial"/>
        <family val="2"/>
      </rPr>
      <t>Align production tenant checks with best practices (also applicable for non-production tenants)</t>
    </r>
  </si>
  <si>
    <t>DEC60</t>
  </si>
  <si>
    <r>
      <t xml:space="preserve">Anomaly detection enabled
</t>
    </r>
    <r>
      <rPr>
        <i/>
        <sz val="10"/>
        <rFont val="Arial"/>
        <family val="2"/>
      </rPr>
      <t>Protect against brute force attacks and use of breached passwords</t>
    </r>
  </si>
  <si>
    <t>DEC70</t>
  </si>
  <si>
    <r>
      <t xml:space="preserve">Install Auth0 Extensions
</t>
    </r>
    <r>
      <rPr>
        <i/>
        <sz val="10"/>
        <rFont val="Arial"/>
        <family val="2"/>
      </rPr>
      <t>Install desired extensions into each tenant</t>
    </r>
  </si>
  <si>
    <t>DEC100</t>
  </si>
  <si>
    <r>
      <t xml:space="preserve">Review user signup policy for database connections
</t>
    </r>
    <r>
      <rPr>
        <i/>
        <sz val="10"/>
        <rFont val="Arial"/>
        <family val="2"/>
      </rPr>
      <t>Disable user signup where not required (not applicable if your are not using Auth0 database connections)</t>
    </r>
  </si>
  <si>
    <t>DEC110</t>
  </si>
  <si>
    <r>
      <t xml:space="preserve">Set password policy for database connections
</t>
    </r>
    <r>
      <rPr>
        <i/>
        <sz val="10"/>
        <rFont val="Arial"/>
        <family val="2"/>
      </rPr>
      <t>Setup recommended password policy for database connections (not applicable if you are not using Auth0 database connections)</t>
    </r>
  </si>
  <si>
    <t>DEC200</t>
  </si>
  <si>
    <r>
      <t xml:space="preserve">Allow callback URLs defined
</t>
    </r>
    <r>
      <rPr>
        <i/>
        <sz val="10"/>
        <rFont val="Arial"/>
        <family val="2"/>
      </rPr>
      <t xml:space="preserve">Specify redirect URLs not defined as </t>
    </r>
    <r>
      <rPr>
        <i/>
        <sz val="10"/>
        <rFont val="Courier New"/>
        <family val="1"/>
      </rPr>
      <t>localhost</t>
    </r>
    <r>
      <rPr>
        <i/>
        <sz val="10"/>
        <rFont val="Arial"/>
        <family val="2"/>
      </rPr>
      <t>.</t>
    </r>
  </si>
  <si>
    <t>DEC210</t>
  </si>
  <si>
    <r>
      <t xml:space="preserve">Application grant types aligned
</t>
    </r>
    <r>
      <rPr>
        <i/>
        <sz val="10"/>
        <rFont val="Arial"/>
        <family val="2"/>
      </rPr>
      <t>Disable grant types not required or recommended in your application (not applicable if you are not using OIDC or OAuth2 workflows)</t>
    </r>
  </si>
  <si>
    <t>DEC220</t>
  </si>
  <si>
    <r>
      <t xml:space="preserve">Social connection developer keys replaced
</t>
    </r>
    <r>
      <rPr>
        <i/>
        <sz val="10"/>
        <rFont val="Arial"/>
        <family val="2"/>
      </rPr>
      <t>Complete registration for each social identity provider to mitigate limitations of out-of-box Auth0 Developer Keys (not applicable if you are not using social connections)</t>
    </r>
  </si>
  <si>
    <t>DEC225</t>
  </si>
  <si>
    <r>
      <t xml:space="preserve">Social connection identity data reviewed
</t>
    </r>
    <r>
      <rPr>
        <i/>
        <sz val="10"/>
        <rFont val="Arial"/>
        <family val="2"/>
      </rPr>
      <t>Review data being requested from each social connection (not applicable if you are not using social connections)</t>
    </r>
  </si>
  <si>
    <t>DEC230</t>
  </si>
  <si>
    <r>
      <t xml:space="preserve">RSA-SHA256 used as signature algorithm
</t>
    </r>
    <r>
      <rPr>
        <i/>
        <sz val="10"/>
        <rFont val="Arial"/>
        <family val="2"/>
      </rPr>
      <t>Configure SAML connections to sign requests and use RSA-SHA256 (not applicable if you are not using SAML)</t>
    </r>
  </si>
  <si>
    <t>DEC400</t>
  </si>
  <si>
    <r>
      <t xml:space="preserve">Set password policy for database connections
</t>
    </r>
    <r>
      <rPr>
        <i/>
        <sz val="10"/>
        <rFont val="Arial"/>
        <family val="2"/>
      </rPr>
      <t>Setup recommened password policy for database connections (not applicable if you are not using Auth0 database connections)</t>
    </r>
  </si>
  <si>
    <t>DEC500</t>
  </si>
  <si>
    <r>
      <t xml:space="preserve">Allowed logout URLs defined
</t>
    </r>
    <r>
      <rPr>
        <i/>
        <sz val="10"/>
        <rFont val="Arial"/>
        <family val="2"/>
      </rPr>
      <t xml:space="preserve">Specify logout redirect URLs and not defined as </t>
    </r>
    <r>
      <rPr>
        <i/>
        <sz val="10"/>
        <rFont val="Courier New"/>
        <family val="1"/>
      </rPr>
      <t>localhost</t>
    </r>
    <r>
      <rPr>
        <i/>
        <sz val="10"/>
        <rFont val="Arial"/>
        <family val="2"/>
      </rPr>
      <t xml:space="preserve"> (not mandatory but recommended)</t>
    </r>
  </si>
  <si>
    <t>Deployment Automation</t>
  </si>
  <si>
    <t>DEC800</t>
  </si>
  <si>
    <r>
      <t xml:space="preserve">Integration test for Rules
</t>
    </r>
    <r>
      <rPr>
        <i/>
        <sz val="10"/>
        <rFont val="Arial"/>
        <family val="2"/>
      </rPr>
      <t>For custom Rule extensibility, execute integration test(s) prior to automated deployment (also applicable if you are not using CI/CD pipeline, though not required if you are not using Rule extensibility)</t>
    </r>
  </si>
  <si>
    <t>DEC810</t>
  </si>
  <si>
    <r>
      <t xml:space="preserve">Integration test for Hooks
</t>
    </r>
    <r>
      <rPr>
        <i/>
        <sz val="10"/>
        <rFont val="Arial"/>
        <family val="2"/>
      </rPr>
      <t>For custom Hook extensibility, execute integration test(s) prior to automated deployment (also applicable if you are not using a CI/CD pipeline, though not required if you are not using Hook extensibility)</t>
    </r>
  </si>
  <si>
    <t>DEC820</t>
  </si>
  <si>
    <r>
      <t xml:space="preserve">Integration test for custom database scripts
</t>
    </r>
    <r>
      <rPr>
        <i/>
        <sz val="10"/>
        <rFont val="Arial"/>
        <family val="2"/>
      </rPr>
      <t>Execute integration test(s) when authenticating users using your own database or automatically migrating users prior to automated deployment (also applicable if you are not using a CI/CD pipeline, through not required if you have not implemented custom database scripts)</t>
    </r>
  </si>
  <si>
    <t>Operations</t>
  </si>
  <si>
    <t>MC900</t>
  </si>
  <si>
    <r>
      <rPr>
        <b/>
        <sz val="10"/>
        <color indexed="8"/>
        <rFont val="Verdana"/>
        <family val="2"/>
      </rPr>
      <t xml:space="preserve">Review Dashboard notifications
</t>
    </r>
    <r>
      <rPr>
        <b/>
        <sz val="10"/>
        <color indexed="8"/>
        <rFont val="Verdana"/>
        <family val="2"/>
      </rPr>
      <t>Review Auth0 important announcements sent to you tenant Dashboard and, depending on severity, to email registered for Auth0 Dashboard Administrators</t>
    </r>
  </si>
  <si>
    <t>MC910</t>
  </si>
  <si>
    <r>
      <rPr>
        <b/>
        <sz val="10"/>
        <color indexed="8"/>
        <rFont val="Verdana"/>
        <family val="2"/>
      </rPr>
      <t xml:space="preserve">Review security bulletins
</t>
    </r>
    <r>
      <rPr>
        <b/>
        <sz val="10"/>
        <color indexed="8"/>
        <rFont val="Verdana"/>
        <family val="2"/>
      </rPr>
      <t xml:space="preserve">Review notifications regarding security-related tests conducted by Auth0 and any security-related changes or actions required </t>
    </r>
  </si>
  <si>
    <t>MC920</t>
  </si>
  <si>
    <r>
      <rPr>
        <b/>
        <sz val="10"/>
        <color indexed="8"/>
        <rFont val="Arial"/>
        <family val="2"/>
      </rPr>
      <t xml:space="preserve">Subscribe to Auth0 Service Status
</t>
    </r>
    <r>
      <rPr>
        <i/>
        <sz val="10"/>
        <color indexed="8"/>
        <rFont val="Verdana"/>
        <family val="2"/>
      </rPr>
      <t>Subscribe via the Auth0 status dashboard to get Auth0 service status information</t>
    </r>
  </si>
  <si>
    <t>MC930</t>
  </si>
  <si>
    <r>
      <rPr>
        <b/>
        <sz val="10"/>
        <color indexed="8"/>
        <rFont val="Arial"/>
        <family val="2"/>
      </rPr>
      <t xml:space="preserve">Monitor Auth0 Service Uptime
</t>
    </r>
    <r>
      <rPr>
        <i/>
        <sz val="10"/>
        <color indexed="8"/>
        <rFont val="Verdana"/>
        <family val="2"/>
      </rPr>
      <t>Monitor Auth0 via the uptime dashboard to get Auth0 service status information</t>
    </r>
  </si>
  <si>
    <t>MC940</t>
  </si>
  <si>
    <r>
      <rPr>
        <b/>
        <sz val="10"/>
        <color indexed="8"/>
        <rFont val="Arial"/>
        <family val="2"/>
      </rPr>
      <t xml:space="preserve">View log data
</t>
    </r>
    <r>
      <rPr>
        <i/>
        <sz val="10"/>
        <color indexed="8"/>
        <rFont val="Verdana"/>
        <family val="2"/>
      </rPr>
      <t>View log data by checkpoint and search criteria to gain insight into operational events</t>
    </r>
  </si>
  <si>
    <t>MC950</t>
  </si>
  <si>
    <r>
      <rPr>
        <b/>
        <sz val="10"/>
        <color indexed="8"/>
        <rFont val="Arial"/>
        <family val="2"/>
      </rPr>
      <t xml:space="preserve">Export log data for aggregation
</t>
    </r>
    <r>
      <rPr>
        <i/>
        <sz val="10"/>
        <color indexed="8"/>
        <rFont val="Verdana"/>
        <family val="2"/>
      </rPr>
      <t>Export to third-party logging services for log preservation and aggregation</t>
    </r>
  </si>
  <si>
    <t>MC960</t>
  </si>
  <si>
    <r>
      <rPr>
        <b/>
        <sz val="10"/>
        <color indexed="8"/>
        <rFont val="Verdana"/>
        <family val="2"/>
      </rPr>
      <t xml:space="preserve">Monitor third-party service status
</t>
    </r>
    <r>
      <rPr>
        <i/>
        <sz val="10"/>
        <color indexed="8"/>
        <rFont val="Verdana"/>
        <family val="2"/>
      </rPr>
      <t>Monitor external service status to see identity provider status (not applicable if you are not using social connections)</t>
    </r>
  </si>
  <si>
    <t>Analyze</t>
  </si>
  <si>
    <t>Design</t>
  </si>
  <si>
    <t>Completed</t>
  </si>
  <si>
    <t>Build</t>
  </si>
  <si>
    <t>In progress</t>
  </si>
  <si>
    <t>Test</t>
  </si>
  <si>
    <t>Deploy</t>
  </si>
  <si>
    <t>Monitor</t>
  </si>
  <si>
    <t>N/A</t>
  </si>
  <si>
    <t>***-saferentsolution</t>
  </si>
  <si>
    <t>saferentsolutions</t>
  </si>
  <si>
    <t>ppd-saferentsolutions</t>
  </si>
  <si>
    <t>dev-saferentsolutions</t>
  </si>
  <si>
    <r>
      <rPr>
        <b/>
        <sz val="8"/>
        <rFont val="Arial"/>
        <family val="2"/>
      </rPr>
      <t>Determine tenant naming</t>
    </r>
    <r>
      <rPr>
        <sz val="8"/>
        <color rgb="FF000000"/>
        <rFont val="Arial"/>
        <family val="2"/>
      </rPr>
      <t xml:space="preserve">
</t>
    </r>
    <r>
      <rPr>
        <i/>
        <sz val="8"/>
        <rFont val="Arial"/>
        <family val="2"/>
      </rPr>
      <t>Create a unique name convention for each Auth0 tenant</t>
    </r>
  </si>
  <si>
    <r>
      <rPr>
        <b/>
        <sz val="8"/>
        <rFont val="Arial"/>
        <family val="2"/>
      </rPr>
      <t>Determine production tenant provision</t>
    </r>
    <r>
      <rPr>
        <sz val="8"/>
        <color rgb="FF000000"/>
        <rFont val="Arial"/>
        <family val="2"/>
      </rPr>
      <t xml:space="preserve">
</t>
    </r>
    <r>
      <rPr>
        <i/>
        <sz val="8"/>
        <rFont val="Arial"/>
        <family val="2"/>
      </rPr>
      <t>Provision an Auth0 production tenant for each user domain you need to support</t>
    </r>
  </si>
  <si>
    <r>
      <rPr>
        <b/>
        <sz val="8"/>
        <rFont val="Arial"/>
        <family val="2"/>
      </rPr>
      <t>Provision a development tenant for each production tenant</t>
    </r>
    <r>
      <rPr>
        <sz val="8"/>
        <color rgb="FF000000"/>
        <rFont val="Arial"/>
        <family val="2"/>
      </rPr>
      <t xml:space="preserve">
</t>
    </r>
    <r>
      <rPr>
        <i/>
        <sz val="8"/>
        <rFont val="Arial"/>
        <family val="2"/>
      </rPr>
      <t>Provision an Auth0 development tenant for each production tenant you have defined</t>
    </r>
  </si>
  <si>
    <r>
      <rPr>
        <b/>
        <sz val="8"/>
        <rFont val="Arial"/>
        <family val="2"/>
      </rPr>
      <t xml:space="preserve">Provision a staging tenant for each production tenant
</t>
    </r>
    <r>
      <rPr>
        <i/>
        <sz val="8"/>
        <rFont val="Arial"/>
        <family val="2"/>
      </rPr>
      <t>Provision an Auth0 test tenant for each production tenant you have defined</t>
    </r>
  </si>
  <si>
    <r>
      <rPr>
        <b/>
        <sz val="8"/>
        <rFont val="Arial"/>
        <family val="2"/>
      </rPr>
      <t xml:space="preserve">Custom domain naming
</t>
    </r>
    <r>
      <rPr>
        <i/>
        <sz val="8"/>
        <rFont val="Arial"/>
        <family val="2"/>
      </rPr>
      <t>Apply custom domain naming to each Auth0 tenant to provide branding and security benefits</t>
    </r>
  </si>
  <si>
    <r>
      <t xml:space="preserve">Extensions
</t>
    </r>
    <r>
      <rPr>
        <i/>
        <sz val="8"/>
        <rFont val="Arial"/>
        <family val="2"/>
      </rPr>
      <t>Review use of Auth0 Extensions to customize and extend Auth0 beyond base product capabilities</t>
    </r>
  </si>
  <si>
    <r>
      <rPr>
        <b/>
        <sz val="8"/>
        <rFont val="Arial"/>
        <family val="2"/>
      </rPr>
      <t xml:space="preserve">Identity provisioning via database connections
</t>
    </r>
    <r>
      <rPr>
        <sz val="8"/>
        <color rgb="FF000000"/>
        <rFont val="Arial"/>
        <family val="2"/>
      </rPr>
      <t>Review use of Auth0 as an identity provider to provide sign-up and user identification</t>
    </r>
  </si>
  <si>
    <r>
      <rPr>
        <b/>
        <sz val="8"/>
        <rFont val="Arial"/>
        <family val="2"/>
      </rPr>
      <t xml:space="preserve">Identity migration
</t>
    </r>
    <r>
      <rPr>
        <sz val="8"/>
        <color rgb="FF000000"/>
        <rFont val="Arial"/>
        <family val="2"/>
      </rPr>
      <t>Review use of Auth0 as an identity provider to provide user identification by migrating from your existing legacy identity store</t>
    </r>
  </si>
  <si>
    <r>
      <rPr>
        <b/>
        <sz val="8"/>
        <rFont val="Arial"/>
        <family val="2"/>
      </rPr>
      <t xml:space="preserve">Existing identity storage
</t>
    </r>
    <r>
      <rPr>
        <sz val="8"/>
        <color rgb="FF000000"/>
        <rFont val="Arial"/>
        <family val="2"/>
      </rPr>
      <t>Review use of Auth0 to provide user identification directly from your existing (legacy) identity store</t>
    </r>
  </si>
  <si>
    <r>
      <rPr>
        <b/>
        <sz val="8"/>
        <rFont val="Arial"/>
        <family val="2"/>
      </rPr>
      <t xml:space="preserve">Third Party identity providers
</t>
    </r>
    <r>
      <rPr>
        <i/>
        <sz val="8"/>
        <rFont val="Arial"/>
        <family val="2"/>
      </rPr>
      <t>Review use of third-party social identity providers in support of user provisioning</t>
    </r>
  </si>
  <si>
    <r>
      <t xml:space="preserve">Hooks
</t>
    </r>
    <r>
      <rPr>
        <i/>
        <sz val="8"/>
        <rFont val="Arial"/>
        <family val="2"/>
      </rPr>
      <t xml:space="preserve">Review use of Auth0 Hook extensibility to further customize and extend Auth0's base product capabilities </t>
    </r>
  </si>
  <si>
    <r>
      <rPr>
        <b/>
        <sz val="8"/>
        <rFont val="Arial"/>
        <family val="2"/>
      </rPr>
      <t xml:space="preserve">Universal Login
</t>
    </r>
    <r>
      <rPr>
        <sz val="8"/>
        <color rgb="FF000000"/>
        <rFont val="Arial"/>
        <family val="2"/>
      </rPr>
      <t>Review Auth0 Universal Login in support of Single Sign On (SSO) and industry best practice</t>
    </r>
  </si>
  <si>
    <r>
      <rPr>
        <b/>
        <sz val="8"/>
        <rFont val="Arial"/>
        <family val="2"/>
      </rPr>
      <t xml:space="preserve">User self sign up
</t>
    </r>
    <r>
      <rPr>
        <sz val="8"/>
        <color rgb="FF000000"/>
        <rFont val="Arial"/>
        <family val="2"/>
      </rPr>
      <t>Leverage Auth0 database connection for storing the user id, password, and (optional) username information collected during the sign-up process</t>
    </r>
  </si>
  <si>
    <r>
      <rPr>
        <b/>
        <sz val="8"/>
        <rFont val="Arial"/>
        <family val="2"/>
      </rPr>
      <t xml:space="preserve">User migration
</t>
    </r>
    <r>
      <rPr>
        <sz val="8"/>
        <color rgb="FF000000"/>
        <rFont val="Arial"/>
        <family val="2"/>
      </rPr>
      <t>Use Auth0 database connection to provide a secure Auth0 hosted replacement for your legacy identity store (not applicable if you will not be migrating users)</t>
    </r>
  </si>
  <si>
    <r>
      <t xml:space="preserve">Application integration
</t>
    </r>
    <r>
      <rPr>
        <i/>
        <sz val="8"/>
        <rFont val="Arial"/>
        <family val="2"/>
      </rPr>
      <t>Follow the Quickstart that best aligns with your technology stack in order to obtain design guidance for your specific application.</t>
    </r>
  </si>
  <si>
    <r>
      <t xml:space="preserve">Universal Login
</t>
    </r>
    <r>
      <rPr>
        <i/>
        <sz val="8"/>
        <rFont val="Arial"/>
        <family val="2"/>
      </rPr>
      <t>The most secure way to authenticate users via use of browser redirect workflow</t>
    </r>
  </si>
  <si>
    <r>
      <t xml:space="preserve">Universal Login customization
</t>
    </r>
    <r>
      <rPr>
        <i/>
        <sz val="8"/>
        <rFont val="Arial"/>
        <family val="2"/>
      </rPr>
      <t>Simple customization as well as advanced customization provides guidance on a range of capabilities that support custom branding and other UI design requirements</t>
    </r>
  </si>
  <si>
    <r>
      <t xml:space="preserve">Password reset customization
</t>
    </r>
    <r>
      <rPr>
        <i/>
        <sz val="8"/>
        <rFont val="Arial"/>
        <family val="2"/>
      </rPr>
      <t>Provide Change Password customization to suit your organisation’s branding as well as other UI design requirements</t>
    </r>
  </si>
  <si>
    <r>
      <t xml:space="preserve">Guardian Multi-factor page customization
</t>
    </r>
    <r>
      <rPr>
        <i/>
        <sz val="8"/>
        <rFont val="Arial"/>
        <family val="2"/>
      </rPr>
      <t>Customize the Guardian Mult-factor page (not applicable if you are not using multi-factor authentication)</t>
    </r>
  </si>
  <si>
    <r>
      <t xml:space="preserve">Social connection registration
</t>
    </r>
    <r>
      <rPr>
        <i/>
        <sz val="8"/>
        <rFont val="Arial"/>
        <family val="2"/>
      </rPr>
      <t>Register for each social identity provider to mitigate limitations of out-of-box Auth0 Developer Keys (not applicable if you are not using social connections)</t>
    </r>
  </si>
  <si>
    <r>
      <t xml:space="preserve">Custom social connection
</t>
    </r>
    <r>
      <rPr>
        <i/>
        <sz val="8"/>
        <rFont val="Arial"/>
        <family val="2"/>
      </rPr>
      <t>Customize a connection for a ocial provider not supported out-of-box (not applicable if you are not using social connections)</t>
    </r>
  </si>
  <si>
    <r>
      <t xml:space="preserve">Auth0 as a SAML service provider
</t>
    </r>
    <r>
      <rPr>
        <i/>
        <sz val="8"/>
        <rFont val="Arial"/>
        <family val="2"/>
      </rPr>
      <t>Review design considerations for using Auth0 as a SAML service provider (not applicable if you do not need to support a SAML service provider context)</t>
    </r>
  </si>
  <si>
    <r>
      <rPr>
        <b/>
        <sz val="8"/>
        <rFont val="Arial"/>
        <family val="2"/>
      </rPr>
      <t xml:space="preserve">Rules best practice aligned
</t>
    </r>
    <r>
      <rPr>
        <i/>
        <sz val="8"/>
        <rFont val="Arial"/>
        <family val="2"/>
      </rPr>
      <t>Review Rule implementation for alignment with best practice guidance for configuration (not applicable if you are not using Rule Extensibility)</t>
    </r>
  </si>
  <si>
    <r>
      <t xml:space="preserve">Hooks best practice aligned
</t>
    </r>
    <r>
      <rPr>
        <i/>
        <sz val="8"/>
        <rFont val="Arial"/>
        <family val="2"/>
      </rPr>
      <t xml:space="preserve">Review use of Auth0 Hook extensibility to further customize and extend Auth0's base product capabilities </t>
    </r>
  </si>
  <si>
    <r>
      <t xml:space="preserve">Custom database scripts best practice aligned
</t>
    </r>
    <r>
      <rPr>
        <i/>
        <sz val="8"/>
        <rFont val="Arial"/>
        <family val="2"/>
      </rPr>
      <t>Review Custom Database Script implementation for alignment with best practice (not applicable if you are not using custom database or automatic user migration functionality)</t>
    </r>
  </si>
  <si>
    <r>
      <rPr>
        <b/>
        <sz val="8"/>
        <rFont val="Arial"/>
        <family val="2"/>
      </rPr>
      <t>Real-time webtask logging</t>
    </r>
    <r>
      <rPr>
        <sz val="8"/>
        <color rgb="FF000000"/>
        <rFont val="Arial"/>
        <family val="2"/>
      </rPr>
      <t xml:space="preserve">
Enable real-time webtask logging for extensibility debugging (not applicable if you are not using Auth0 extensibility features such as Rules, Hooks or custom database)</t>
    </r>
  </si>
  <si>
    <r>
      <rPr>
        <b/>
        <sz val="8"/>
        <rFont val="Arial"/>
        <family val="2"/>
      </rPr>
      <t>CI (Continuous Integration)</t>
    </r>
    <r>
      <rPr>
        <sz val="8"/>
        <color rgb="FF000000"/>
        <rFont val="Arial"/>
        <family val="2"/>
      </rPr>
      <t xml:space="preserve">
Regular integration and test Auth0 of custom extensibility (et-al) prior to automatic deployment (also applicable if you are not using a CI/CD pipeline)</t>
    </r>
  </si>
  <si>
    <r>
      <rPr>
        <b/>
        <sz val="8"/>
        <rFont val="Arial"/>
        <family val="2"/>
      </rPr>
      <t xml:space="preserve">Custom database scripts best practice aligned
</t>
    </r>
    <r>
      <rPr>
        <sz val="8"/>
        <color rgb="FF000000"/>
        <rFont val="Arial"/>
        <family val="2"/>
      </rPr>
      <t>Review Custom Database Script implementation for alignment with best practice guidance (not applicable if you are not using custom database or automatic user migration functionality)</t>
    </r>
  </si>
  <si>
    <r>
      <rPr>
        <b/>
        <sz val="8"/>
        <rFont val="Arial"/>
        <family val="2"/>
      </rPr>
      <t xml:space="preserve">Hooks best practice aligned
</t>
    </r>
    <r>
      <rPr>
        <sz val="8"/>
        <color rgb="FF000000"/>
        <rFont val="Arial"/>
        <family val="2"/>
      </rPr>
      <t>Implementation for Hooks aligned with best practice guidance provided here. Not applicable if you are not using either of the the Pre-User-Registration or the Post-User-Registration Hook extensibility points.</t>
    </r>
  </si>
  <si>
    <r>
      <t xml:space="preserve">Application isolation
</t>
    </r>
    <r>
      <rPr>
        <i/>
        <sz val="8"/>
        <rFont val="Arial"/>
        <family val="2"/>
      </rPr>
      <t>Review guidance for more information regarding application definitions in Auth0 and to mitigate reuse client identifiers or credentials across different applications</t>
    </r>
  </si>
  <si>
    <r>
      <t xml:space="preserve">Auth0 Authentication SDK
</t>
    </r>
    <r>
      <rPr>
        <i/>
        <sz val="8"/>
        <rFont val="Arial"/>
        <family val="2"/>
      </rPr>
      <t>Follow guidance to make use of the Auth0 SDK that best aligns with your technology stack rather than calling the Auth0 Authentication API directly</t>
    </r>
  </si>
  <si>
    <r>
      <t xml:space="preserve">Auth0 Authentication API rate limit handling
</t>
    </r>
    <r>
      <rPr>
        <i/>
        <sz val="8"/>
        <rFont val="Arial"/>
        <family val="2"/>
      </rPr>
      <t>Handling of HTTP Status Code 429s implemented and followed the guidance provided here concerning Auth0 Rate Limit metrics for the Authentication API</t>
    </r>
  </si>
  <si>
    <r>
      <rPr>
        <b/>
        <sz val="8"/>
        <rFont val="Arial"/>
        <family val="2"/>
      </rPr>
      <t xml:space="preserve">Session lifetime limits for Single Sign On (SSO) configured
</t>
    </r>
    <r>
      <rPr>
        <i/>
        <sz val="8"/>
        <rFont val="Arial"/>
        <family val="2"/>
      </rPr>
      <t>Configure session lifetime limits for SSO</t>
    </r>
  </si>
  <si>
    <r>
      <t xml:space="preserve">Tenant wide allowed logout URLs defined
</t>
    </r>
    <r>
      <rPr>
        <i/>
        <sz val="8"/>
        <rFont val="Arial"/>
        <family val="2"/>
      </rPr>
      <t xml:space="preserve">Specify logout redirect URLs and not defined as </t>
    </r>
    <r>
      <rPr>
        <i/>
        <sz val="8"/>
        <rFont val="Courier New"/>
        <family val="1"/>
      </rPr>
      <t>localhost</t>
    </r>
    <r>
      <rPr>
        <i/>
        <sz val="8"/>
        <rFont val="Arial"/>
        <family val="2"/>
      </rPr>
      <t xml:space="preserve"> (not mandatory, but it is a best practice recommendation to provide user logout functionality)</t>
    </r>
  </si>
  <si>
    <r>
      <t xml:space="preserve">Tenant environment tag assigned
</t>
    </r>
    <r>
      <rPr>
        <i/>
        <sz val="8"/>
        <rFont val="Arial"/>
        <family val="2"/>
      </rPr>
      <t xml:space="preserve">Assign an environment tag for each tenant </t>
    </r>
  </si>
  <si>
    <r>
      <rPr>
        <b/>
        <sz val="8"/>
        <rFont val="Arial"/>
        <family val="2"/>
      </rPr>
      <t xml:space="preserve">Tenant production checks run
</t>
    </r>
    <r>
      <rPr>
        <sz val="8"/>
        <color rgb="FF000000"/>
        <rFont val="Arial"/>
        <family val="2"/>
      </rPr>
      <t>Run automated tests on your production tenant configuration and address any issues raised (also applicable for non-production tenants)</t>
    </r>
  </si>
  <si>
    <r>
      <rPr>
        <b/>
        <sz val="8"/>
        <rFont val="Arial"/>
        <family val="2"/>
      </rPr>
      <t xml:space="preserve">Real-time webtask logging
</t>
    </r>
    <r>
      <rPr>
        <sz val="8"/>
        <color rgb="FF000000"/>
        <rFont val="Arial"/>
        <family val="2"/>
      </rPr>
      <t>Enable real-time webtask logging for extensibility debugging (not applicable if you are not using Auth0 extensibility features such as Rules, Hooks or custom database)</t>
    </r>
  </si>
  <si>
    <r>
      <rPr>
        <b/>
        <sz val="8"/>
        <rFont val="Arial"/>
        <family val="2"/>
      </rPr>
      <t xml:space="preserve">Allowed callback URLs defined
</t>
    </r>
    <r>
      <rPr>
        <sz val="8"/>
        <color rgb="FF000000"/>
        <rFont val="Arial"/>
        <family val="2"/>
      </rPr>
      <t xml:space="preserve">Specify redirect URLs and not defined as </t>
    </r>
    <r>
      <rPr>
        <sz val="8"/>
        <rFont val="Courier New"/>
        <family val="1"/>
      </rPr>
      <t>localhost</t>
    </r>
    <r>
      <rPr>
        <sz val="8"/>
        <color rgb="FF000000"/>
        <rFont val="Arial"/>
        <family val="2"/>
      </rPr>
      <t>.</t>
    </r>
  </si>
  <si>
    <r>
      <rPr>
        <b/>
        <sz val="8"/>
        <rFont val="Arial"/>
        <family val="2"/>
      </rPr>
      <t>Performance test</t>
    </r>
    <r>
      <rPr>
        <sz val="8"/>
        <color rgb="FF000000"/>
        <rFont val="Arial"/>
        <family val="2"/>
      </rPr>
      <t xml:space="preserve">
Test performance to uncover issues with implementation</t>
    </r>
  </si>
  <si>
    <r>
      <rPr>
        <sz val="8"/>
        <rFont val="Arial"/>
        <family val="2"/>
      </rPr>
      <t xml:space="preserve">Performance test tooling
</t>
    </r>
    <r>
      <rPr>
        <i/>
        <sz val="8"/>
        <rFont val="Arial"/>
        <family val="2"/>
      </rPr>
      <t>Review third-party tools for performance related testing</t>
    </r>
  </si>
  <si>
    <r>
      <rPr>
        <b/>
        <sz val="8"/>
        <rFont val="Arial"/>
        <family val="2"/>
      </rPr>
      <t>Load test scheduling</t>
    </r>
    <r>
      <rPr>
        <sz val="8"/>
        <color rgb="FF000000"/>
        <rFont val="Arial"/>
        <family val="2"/>
      </rPr>
      <t xml:space="preserve">
</t>
    </r>
    <r>
      <rPr>
        <i/>
        <sz val="8"/>
        <rFont val="Arial"/>
        <family val="2"/>
      </rPr>
      <t>Schedule performance load testing in accordance with Auth0 load testing policy (not applicable if you do not need to load test)</t>
    </r>
  </si>
  <si>
    <r>
      <rPr>
        <b/>
        <sz val="8"/>
        <rFont val="Arial"/>
        <family val="2"/>
      </rPr>
      <t>Load test</t>
    </r>
    <r>
      <rPr>
        <sz val="8"/>
        <color rgb="FF000000"/>
        <rFont val="Arial"/>
        <family val="2"/>
      </rPr>
      <t xml:space="preserve">
</t>
    </r>
    <r>
      <rPr>
        <i/>
        <sz val="8"/>
        <rFont val="Arial"/>
        <family val="2"/>
      </rPr>
      <t>Perform performance load testing in accordance with Auth0 load testing policy and requirements (not applicable if you do not need to load test)</t>
    </r>
  </si>
  <si>
    <r>
      <rPr>
        <b/>
        <sz val="8"/>
        <rFont val="Arial"/>
        <family val="2"/>
      </rPr>
      <t xml:space="preserve">Mock test Authentication API
</t>
    </r>
    <r>
      <rPr>
        <i/>
        <sz val="8"/>
        <rFont val="Arial"/>
        <family val="2"/>
      </rPr>
      <t>Mock test as a supplement to mitigate restrictions associated with Auth0 load testing (recommended but not mandatory if you do not need to load test)</t>
    </r>
  </si>
  <si>
    <r>
      <rPr>
        <b/>
        <sz val="8"/>
        <rFont val="Arial"/>
        <family val="2"/>
      </rPr>
      <t xml:space="preserve">Mock test Management API
</t>
    </r>
    <r>
      <rPr>
        <i/>
        <sz val="8"/>
        <rFont val="Arial"/>
        <family val="2"/>
      </rPr>
      <t>Mock test for Management API calls as a supplement to mitigate restrictions associated with Auth0 load testing (not applicable if no independent calls are made to the Auth0 Management API)</t>
    </r>
  </si>
  <si>
    <r>
      <rPr>
        <b/>
        <sz val="8"/>
        <rFont val="Arial"/>
        <family val="2"/>
      </rPr>
      <t xml:space="preserve">Tenant administrators defined
</t>
    </r>
    <r>
      <rPr>
        <i/>
        <sz val="8"/>
        <rFont val="Arial"/>
        <family val="2"/>
      </rPr>
      <t>Provision tenant administrators</t>
    </r>
  </si>
  <si>
    <r>
      <t xml:space="preserve">Tenant administration delegation defined
</t>
    </r>
    <r>
      <rPr>
        <i/>
        <sz val="8"/>
        <rFont val="Arial"/>
        <family val="2"/>
      </rPr>
      <t>Provision delegated tenant administrator (not applicable if you’re not using tenant Delegated Administration)</t>
    </r>
  </si>
  <si>
    <r>
      <t xml:space="preserve">MFA for tenant administrators enabled
</t>
    </r>
    <r>
      <rPr>
        <i/>
        <sz val="8"/>
        <rFont val="Arial"/>
        <family val="2"/>
      </rPr>
      <t xml:space="preserve">Enroll tenant administrators for MFA (Multi-factor Authentication) </t>
    </r>
  </si>
  <si>
    <r>
      <rPr>
        <b/>
        <sz val="8"/>
        <rFont val="Arial"/>
        <family val="2"/>
      </rPr>
      <t xml:space="preserve">Support URL configured
</t>
    </r>
    <r>
      <rPr>
        <sz val="8"/>
        <color rgb="FF000000"/>
        <rFont val="Arial"/>
        <family val="2"/>
      </rPr>
      <t>Configure the URL for your company/organization support page and as a best practice for your production tenant deployment</t>
    </r>
  </si>
  <si>
    <r>
      <rPr>
        <b/>
        <sz val="8"/>
        <rFont val="Arial"/>
        <family val="2"/>
      </rPr>
      <t xml:space="preserve">Support email configured
</t>
    </r>
    <r>
      <rPr>
        <sz val="8"/>
        <color rgb="FF000000"/>
        <rFont val="Arial"/>
        <family val="2"/>
      </rPr>
      <t>Configure the email address used to contact your company/organization support team and as a best practice for your production tenant deployment</t>
    </r>
  </si>
  <si>
    <r>
      <rPr>
        <sz val="8"/>
        <rFont val="Arial"/>
        <family val="2"/>
      </rPr>
      <t>Tenant wide allowed logout URLs defined</t>
    </r>
    <r>
      <rPr>
        <sz val="8"/>
        <color rgb="FF000000"/>
        <rFont val="Arial"/>
        <family val="2"/>
      </rPr>
      <t xml:space="preserve">
</t>
    </r>
    <r>
      <rPr>
        <sz val="8"/>
        <rFont val="Arial"/>
        <family val="2"/>
      </rPr>
      <t xml:space="preserve">Specify logout redirect URLs and not defined as </t>
    </r>
    <r>
      <rPr>
        <sz val="8"/>
        <color rgb="FF000000"/>
        <rFont val="Arial"/>
        <family val="2"/>
      </rPr>
      <t>localhost</t>
    </r>
    <r>
      <rPr>
        <sz val="8"/>
        <rFont val="Arial"/>
        <family val="2"/>
      </rPr>
      <t xml:space="preserve"> (not mandatory but recommended)</t>
    </r>
  </si>
  <si>
    <r>
      <rPr>
        <b/>
        <sz val="8"/>
        <rFont val="Arial"/>
        <family val="2"/>
      </rPr>
      <t xml:space="preserve">Tenant environment tag assigned
</t>
    </r>
    <r>
      <rPr>
        <sz val="8"/>
        <color rgb="FF000000"/>
        <rFont val="Arial"/>
        <family val="2"/>
      </rPr>
      <t>Assign environment tag for each tenant</t>
    </r>
  </si>
  <si>
    <r>
      <t xml:space="preserve">Tenant production checks run
</t>
    </r>
    <r>
      <rPr>
        <i/>
        <sz val="8"/>
        <rFont val="Arial"/>
        <family val="2"/>
      </rPr>
      <t>Run automated tests on production tenant configuration and address any issues raised (also applicable for non-production tenants)</t>
    </r>
  </si>
  <si>
    <r>
      <rPr>
        <b/>
        <sz val="8"/>
        <rFont val="Arial"/>
        <family val="2"/>
      </rPr>
      <t xml:space="preserve">Tenant production checks best practice aligned
</t>
    </r>
    <r>
      <rPr>
        <sz val="8"/>
        <color rgb="FF000000"/>
        <rFont val="Arial"/>
        <family val="2"/>
      </rPr>
      <t>Align production tenant checks with best practices (also applicable for non-production tenants)</t>
    </r>
  </si>
  <si>
    <r>
      <t xml:space="preserve">Anomaly detection enabled
</t>
    </r>
    <r>
      <rPr>
        <i/>
        <sz val="8"/>
        <rFont val="Arial"/>
        <family val="2"/>
      </rPr>
      <t>Protect against brute force attacks and use of breached passwords</t>
    </r>
  </si>
  <si>
    <r>
      <t xml:space="preserve">Install Auth0 Extensions
</t>
    </r>
    <r>
      <rPr>
        <i/>
        <sz val="8"/>
        <rFont val="Arial"/>
        <family val="2"/>
      </rPr>
      <t>Install desired extensions into each tenant</t>
    </r>
  </si>
  <si>
    <r>
      <t xml:space="preserve">Review user signup policy for database connections
</t>
    </r>
    <r>
      <rPr>
        <i/>
        <sz val="8"/>
        <rFont val="Arial"/>
        <family val="2"/>
      </rPr>
      <t>Disable user signup where not required (not applicable if your are not using Auth0 database connections)</t>
    </r>
  </si>
  <si>
    <r>
      <t xml:space="preserve">Set password policy for database connections
</t>
    </r>
    <r>
      <rPr>
        <i/>
        <sz val="8"/>
        <rFont val="Arial"/>
        <family val="2"/>
      </rPr>
      <t>Setup recommended password policy for database connections (not applicable if you are not using Auth0 database connections)</t>
    </r>
  </si>
  <si>
    <r>
      <t xml:space="preserve">Allow callback URLs defined
</t>
    </r>
    <r>
      <rPr>
        <i/>
        <sz val="8"/>
        <rFont val="Arial"/>
        <family val="2"/>
      </rPr>
      <t xml:space="preserve">Specify redirect URLs not defined as </t>
    </r>
    <r>
      <rPr>
        <i/>
        <sz val="8"/>
        <rFont val="Courier New"/>
        <family val="1"/>
      </rPr>
      <t>localhost</t>
    </r>
    <r>
      <rPr>
        <i/>
        <sz val="8"/>
        <rFont val="Arial"/>
        <family val="2"/>
      </rPr>
      <t>.</t>
    </r>
  </si>
  <si>
    <r>
      <t xml:space="preserve">Application grant types aligned
</t>
    </r>
    <r>
      <rPr>
        <i/>
        <sz val="8"/>
        <rFont val="Arial"/>
        <family val="2"/>
      </rPr>
      <t>Disable grant types not required or recommended in your application (not applicable if you are not using OIDC or OAuth2 workflows)</t>
    </r>
  </si>
  <si>
    <r>
      <t xml:space="preserve">Social connection developer keys replaced
</t>
    </r>
    <r>
      <rPr>
        <i/>
        <sz val="8"/>
        <rFont val="Arial"/>
        <family val="2"/>
      </rPr>
      <t>Complete registration for each social identity provider to mitigate limitations of out-of-box Auth0 Developer Keys (not applicable if you are not using social connections)</t>
    </r>
  </si>
  <si>
    <r>
      <t xml:space="preserve">Social connection identity data reviewed
</t>
    </r>
    <r>
      <rPr>
        <i/>
        <sz val="8"/>
        <rFont val="Arial"/>
        <family val="2"/>
      </rPr>
      <t>Review data being requested from each social connection (not applicable if you are not using social connections)</t>
    </r>
  </si>
  <si>
    <r>
      <t xml:space="preserve">RSA-SHA256 used as signature algorithm
</t>
    </r>
    <r>
      <rPr>
        <i/>
        <sz val="8"/>
        <rFont val="Arial"/>
        <family val="2"/>
      </rPr>
      <t>Configure SAML connections to sign requests and use RSA-SHA256 (not applicable if you are not using SAML)</t>
    </r>
  </si>
  <si>
    <r>
      <t xml:space="preserve">Set password policy for database connections
</t>
    </r>
    <r>
      <rPr>
        <i/>
        <sz val="8"/>
        <rFont val="Arial"/>
        <family val="2"/>
      </rPr>
      <t>Setup recommened password policy for database connections (not applicable if you are not using Auth0 database connections)</t>
    </r>
  </si>
  <si>
    <r>
      <t xml:space="preserve">Allowed logout URLs defined
</t>
    </r>
    <r>
      <rPr>
        <i/>
        <sz val="8"/>
        <rFont val="Arial"/>
        <family val="2"/>
      </rPr>
      <t xml:space="preserve">Specify logout redirect URLs and not defined as </t>
    </r>
    <r>
      <rPr>
        <i/>
        <sz val="8"/>
        <rFont val="Courier New"/>
        <family val="1"/>
      </rPr>
      <t>localhost</t>
    </r>
    <r>
      <rPr>
        <i/>
        <sz val="8"/>
        <rFont val="Arial"/>
        <family val="2"/>
      </rPr>
      <t xml:space="preserve"> (not mandatory but recommended)</t>
    </r>
  </si>
  <si>
    <r>
      <t xml:space="preserve">Integration test for Rules
</t>
    </r>
    <r>
      <rPr>
        <i/>
        <sz val="8"/>
        <rFont val="Arial"/>
        <family val="2"/>
      </rPr>
      <t>For custom Rule extensibility, execute integration test(s) prior to automated deployment (also applicable if you are not using CI/CD pipeline, though not required if you are not using Rule extensibility)</t>
    </r>
  </si>
  <si>
    <r>
      <t xml:space="preserve">Integration test for Hooks
</t>
    </r>
    <r>
      <rPr>
        <i/>
        <sz val="8"/>
        <rFont val="Arial"/>
        <family val="2"/>
      </rPr>
      <t>For custom Hook extensibility, execute integration test(s) prior to automated deployment (also applicable if you are not using a CI/CD pipeline, though not required if you are not using Hook extensibility)</t>
    </r>
  </si>
  <si>
    <r>
      <t xml:space="preserve">Integration test for custom database scripts
</t>
    </r>
    <r>
      <rPr>
        <i/>
        <sz val="8"/>
        <rFont val="Arial"/>
        <family val="2"/>
      </rPr>
      <t>Execute integration test(s) when authenticating users using your own database or automatically migrating users prior to automated deployment (also applicable if you are not using a CI/CD pipeline, through not required if you have not implemented custom database scripts)</t>
    </r>
  </si>
  <si>
    <r>
      <rPr>
        <b/>
        <sz val="8"/>
        <color indexed="8"/>
        <rFont val="Verdana"/>
        <family val="2"/>
      </rPr>
      <t>Review Dashboard notifications
Review Auth0 important announcements sent to you tenant Dashboard and, depending on severity, to email registered for Auth0 Dashboard Administrators</t>
    </r>
  </si>
  <si>
    <r>
      <rPr>
        <b/>
        <sz val="8"/>
        <color indexed="8"/>
        <rFont val="Verdana"/>
        <family val="2"/>
      </rPr>
      <t xml:space="preserve">Review security bulletins
Review notifications regarding security-related tests conducted by Auth0 and any security-related changes or actions required </t>
    </r>
  </si>
  <si>
    <r>
      <t xml:space="preserve">Subscribe to Auth0 Service Status
</t>
    </r>
    <r>
      <rPr>
        <i/>
        <sz val="8"/>
        <color indexed="8"/>
        <rFont val="Verdana"/>
        <family val="2"/>
      </rPr>
      <t>Subscribe via the Auth0 status dashboard to get Auth0 service status information</t>
    </r>
  </si>
  <si>
    <r>
      <t xml:space="preserve">Monitor Auth0 Service Uptime
</t>
    </r>
    <r>
      <rPr>
        <i/>
        <sz val="8"/>
        <color indexed="8"/>
        <rFont val="Verdana"/>
        <family val="2"/>
      </rPr>
      <t>Monitor Auth0 via the uptime dashboard to get Auth0 service status information</t>
    </r>
  </si>
  <si>
    <r>
      <t xml:space="preserve">View log data
</t>
    </r>
    <r>
      <rPr>
        <i/>
        <sz val="8"/>
        <color indexed="8"/>
        <rFont val="Verdana"/>
        <family val="2"/>
      </rPr>
      <t>View log data by checkpoint and search criteria to gain insight into operational events</t>
    </r>
  </si>
  <si>
    <r>
      <t xml:space="preserve">Export log data for aggregation
</t>
    </r>
    <r>
      <rPr>
        <i/>
        <sz val="8"/>
        <color indexed="8"/>
        <rFont val="Verdana"/>
        <family val="2"/>
      </rPr>
      <t>Export to third-party logging services for log preservation and aggregation</t>
    </r>
  </si>
  <si>
    <r>
      <rPr>
        <b/>
        <sz val="8"/>
        <color indexed="8"/>
        <rFont val="Verdana"/>
        <family val="2"/>
      </rPr>
      <t xml:space="preserve">Monitor third-party service status
</t>
    </r>
    <r>
      <rPr>
        <i/>
        <sz val="8"/>
        <color indexed="8"/>
        <rFont val="Verdana"/>
        <family val="2"/>
      </rPr>
      <t>Monitor external service status to see identity provider status (not applicable if you are not using social connections)</t>
    </r>
  </si>
  <si>
    <t>auth.saferentsolutions.com, ppd-auth.saferentsolutions.com, 301-auth.saferentsolutions.com</t>
  </si>
  <si>
    <t>Real-time Webtask Logs
Version 1.3</t>
  </si>
  <si>
    <t>Custom DB (FarAPI service)</t>
  </si>
  <si>
    <t>Set of actions has been implemented</t>
  </si>
  <si>
    <t>ulogin.aspx</t>
  </si>
  <si>
    <t>Logo, wording, messages</t>
  </si>
  <si>
    <t>See Auth0 actions, forms, hooks</t>
  </si>
  <si>
    <t>Terraform scripts. In progress</t>
  </si>
  <si>
    <t xml:space="preserve">Secrets </t>
  </si>
  <si>
    <t>Log streams, Datadog US5 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</si>
</sst>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color rgb="FF000000"/>
      <name val="Arial"/>
    </font>
    <font>
      <b/>
      <sz val="12"/>
      <color rgb="FF000000"/>
      <name val="Arial"/>
      <family val="2"/>
    </font>
    <font>
      <b/>
      <sz val="12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i/>
      <sz val="10"/>
      <color rgb="FF000000"/>
      <name val="Arial"/>
      <family val="2"/>
    </font>
    <font>
      <i/>
      <sz val="10"/>
      <name val="Arial"/>
      <family val="2"/>
    </font>
    <font>
      <b/>
      <sz val="10"/>
      <color rgb="FF000000"/>
      <name val="Arial"/>
      <family val="2"/>
    </font>
    <font>
      <u/>
      <sz val="10"/>
      <color rgb="FF1155CC"/>
      <name val="Arial"/>
      <family val="2"/>
    </font>
    <font>
      <i/>
      <sz val="10"/>
      <name val="Courier New"/>
      <family val="1"/>
    </font>
    <font>
      <sz val="10"/>
      <name val="Courier New"/>
      <family val="1"/>
    </font>
    <font>
      <b/>
      <sz val="11"/>
      <color rgb="FF00000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i/>
      <sz val="10"/>
      <color rgb="FF000000"/>
      <name val="Arial"/>
      <family val="2"/>
    </font>
    <font>
      <b/>
      <i/>
      <sz val="10"/>
      <color rgb="FF000000"/>
      <name val="Courier New"/>
      <family val="1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Verdana"/>
      <family val="2"/>
    </font>
    <font>
      <u/>
      <sz val="10"/>
      <color indexed="12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Verdana"/>
      <family val="2"/>
    </font>
    <font>
      <u/>
      <sz val="10"/>
      <color theme="10"/>
      <name val="Arial"/>
      <family val="2"/>
    </font>
    <font>
      <u/>
      <sz val="8"/>
      <color rgb="FF0000FF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i/>
      <sz val="8"/>
      <color rgb="FF000000"/>
      <name val="Arial"/>
      <family val="2"/>
    </font>
    <font>
      <u/>
      <sz val="8"/>
      <color rgb="FF1155CC"/>
      <name val="Arial"/>
      <family val="2"/>
    </font>
    <font>
      <i/>
      <sz val="8"/>
      <name val="Courier New"/>
      <family val="1"/>
    </font>
    <font>
      <sz val="8"/>
      <name val="Courier New"/>
      <family val="1"/>
    </font>
    <font>
      <b/>
      <i/>
      <sz val="8"/>
      <color rgb="FF000000"/>
      <name val="Arial"/>
      <family val="2"/>
    </font>
    <font>
      <b/>
      <i/>
      <sz val="8"/>
      <color rgb="FF000000"/>
      <name val="Courier New"/>
      <family val="1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i/>
      <sz val="8"/>
      <color indexed="8"/>
      <name val="Arial"/>
      <family val="2"/>
    </font>
    <font>
      <b/>
      <sz val="8"/>
      <color indexed="8"/>
      <name val="Verdana"/>
      <family val="2"/>
    </font>
    <font>
      <u/>
      <sz val="8"/>
      <color indexed="12"/>
      <name val="Arial"/>
      <family val="2"/>
    </font>
    <font>
      <i/>
      <sz val="8"/>
      <color indexed="8"/>
      <name val="Verdana"/>
      <family val="2"/>
    </font>
    <font>
      <u/>
      <sz val="8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5" fillId="0" borderId="0"/>
    <xf numFmtId="0" fontId="18" fillId="0" borderId="0" applyNumberFormat="0" applyFill="0" applyBorder="0" applyProtection="0"/>
    <xf numFmtId="0" fontId="25" fillId="0" borderId="0" applyNumberFormat="0" applyFill="0" applyBorder="0" applyAlignment="0" applyProtection="0"/>
  </cellStyleXfs>
  <cellXfs count="124">
    <xf numFmtId="0" fontId="0" fillId="0" borderId="0" xfId="0"/>
    <xf numFmtId="0" fontId="1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0" borderId="0" xfId="1"/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4" fillId="0" borderId="5" xfId="1" applyFont="1" applyBorder="1"/>
    <xf numFmtId="0" fontId="4" fillId="0" borderId="6" xfId="1" applyFont="1" applyBorder="1" applyAlignment="1">
      <alignment horizontal="center"/>
    </xf>
    <xf numFmtId="0" fontId="7" fillId="0" borderId="6" xfId="1" applyFont="1" applyBorder="1" applyAlignment="1">
      <alignment wrapText="1"/>
    </xf>
    <xf numFmtId="0" fontId="4" fillId="0" borderId="6" xfId="1" applyFont="1" applyBorder="1"/>
    <xf numFmtId="0" fontId="5" fillId="0" borderId="6" xfId="1" applyBorder="1" applyAlignment="1">
      <alignment horizontal="center"/>
    </xf>
    <xf numFmtId="0" fontId="9" fillId="0" borderId="6" xfId="1" applyFont="1" applyBorder="1" applyAlignment="1">
      <alignment wrapText="1"/>
    </xf>
    <xf numFmtId="0" fontId="4" fillId="0" borderId="0" xfId="1" applyFont="1" applyAlignment="1">
      <alignment horizontal="center"/>
    </xf>
    <xf numFmtId="0" fontId="4" fillId="0" borderId="0" xfId="1" applyFont="1" applyAlignment="1">
      <alignment wrapText="1"/>
    </xf>
    <xf numFmtId="0" fontId="6" fillId="0" borderId="6" xfId="1" applyFont="1" applyBorder="1" applyAlignment="1">
      <alignment wrapText="1"/>
    </xf>
    <xf numFmtId="0" fontId="10" fillId="0" borderId="6" xfId="1" applyFont="1" applyBorder="1" applyAlignment="1">
      <alignment wrapText="1"/>
    </xf>
    <xf numFmtId="0" fontId="7" fillId="0" borderId="6" xfId="1" applyFont="1" applyBorder="1"/>
    <xf numFmtId="0" fontId="13" fillId="0" borderId="0" xfId="1" applyFont="1"/>
    <xf numFmtId="49" fontId="4" fillId="0" borderId="6" xfId="1" applyNumberFormat="1" applyFont="1" applyBorder="1" applyAlignment="1">
      <alignment horizontal="center"/>
    </xf>
    <xf numFmtId="0" fontId="16" fillId="0" borderId="6" xfId="1" applyFont="1" applyBorder="1" applyAlignment="1">
      <alignment wrapText="1"/>
    </xf>
    <xf numFmtId="0" fontId="17" fillId="0" borderId="6" xfId="1" applyFont="1" applyBorder="1" applyAlignment="1">
      <alignment wrapText="1"/>
    </xf>
    <xf numFmtId="0" fontId="4" fillId="0" borderId="0" xfId="1" applyFont="1"/>
    <xf numFmtId="49" fontId="19" fillId="0" borderId="8" xfId="2" applyNumberFormat="1" applyFont="1" applyBorder="1" applyAlignment="1">
      <alignment horizontal="center"/>
    </xf>
    <xf numFmtId="0" fontId="18" fillId="0" borderId="9" xfId="2" applyBorder="1"/>
    <xf numFmtId="0" fontId="18" fillId="0" borderId="10" xfId="2" applyBorder="1"/>
    <xf numFmtId="0" fontId="18" fillId="0" borderId="0" xfId="2" applyNumberFormat="1"/>
    <xf numFmtId="49" fontId="18" fillId="0" borderId="8" xfId="2" applyNumberFormat="1" applyBorder="1" applyAlignment="1">
      <alignment horizontal="center"/>
    </xf>
    <xf numFmtId="49" fontId="20" fillId="4" borderId="8" xfId="2" applyNumberFormat="1" applyFont="1" applyFill="1" applyBorder="1" applyAlignment="1">
      <alignment wrapText="1"/>
    </xf>
    <xf numFmtId="49" fontId="22" fillId="4" borderId="8" xfId="2" applyNumberFormat="1" applyFont="1" applyFill="1" applyBorder="1" applyAlignment="1">
      <alignment wrapText="1"/>
    </xf>
    <xf numFmtId="0" fontId="18" fillId="0" borderId="8" xfId="2" applyBorder="1"/>
    <xf numFmtId="49" fontId="23" fillId="4" borderId="8" xfId="2" applyNumberFormat="1" applyFont="1" applyFill="1" applyBorder="1" applyAlignment="1">
      <alignment wrapText="1"/>
    </xf>
    <xf numFmtId="49" fontId="18" fillId="4" borderId="8" xfId="2" applyNumberFormat="1" applyFill="1" applyBorder="1" applyAlignment="1">
      <alignment wrapText="1"/>
    </xf>
    <xf numFmtId="0" fontId="3" fillId="2" borderId="2" xfId="1" applyFont="1" applyFill="1" applyBorder="1"/>
    <xf numFmtId="0" fontId="4" fillId="0" borderId="3" xfId="1" applyFont="1" applyBorder="1"/>
    <xf numFmtId="0" fontId="4" fillId="0" borderId="4" xfId="1" applyFont="1" applyBorder="1"/>
    <xf numFmtId="0" fontId="5" fillId="0" borderId="1" xfId="1" applyBorder="1" applyAlignment="1">
      <alignment horizontal="center"/>
    </xf>
    <xf numFmtId="0" fontId="4" fillId="0" borderId="5" xfId="1" applyFont="1" applyBorder="1"/>
    <xf numFmtId="0" fontId="9" fillId="0" borderId="1" xfId="1" applyFont="1" applyBorder="1" applyAlignment="1">
      <alignment wrapText="1"/>
    </xf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wrapText="1"/>
    </xf>
    <xf numFmtId="0" fontId="4" fillId="2" borderId="2" xfId="1" applyFont="1" applyFill="1" applyBorder="1"/>
    <xf numFmtId="49" fontId="18" fillId="3" borderId="11" xfId="2" applyNumberFormat="1" applyFill="1" applyBorder="1"/>
    <xf numFmtId="0" fontId="18" fillId="0" borderId="12" xfId="2" applyBorder="1"/>
    <xf numFmtId="0" fontId="18" fillId="0" borderId="13" xfId="2" applyBorder="1"/>
    <xf numFmtId="0" fontId="18" fillId="0" borderId="14" xfId="2" applyBorder="1"/>
    <xf numFmtId="0" fontId="26" fillId="5" borderId="2" xfId="0" applyFont="1" applyFill="1" applyBorder="1"/>
    <xf numFmtId="0" fontId="27" fillId="6" borderId="3" xfId="0" applyFont="1" applyFill="1" applyBorder="1" applyAlignment="1">
      <alignment wrapText="1"/>
    </xf>
    <xf numFmtId="0" fontId="27" fillId="6" borderId="3" xfId="0" applyFont="1" applyFill="1" applyBorder="1" applyAlignment="1">
      <alignment horizontal="center" vertical="center"/>
    </xf>
    <xf numFmtId="0" fontId="28" fillId="0" borderId="0" xfId="0" applyFont="1"/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 wrapText="1"/>
    </xf>
    <xf numFmtId="0" fontId="30" fillId="0" borderId="1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/>
    </xf>
    <xf numFmtId="0" fontId="27" fillId="0" borderId="5" xfId="0" applyFont="1" applyBorder="1" applyAlignment="1">
      <alignment wrapText="1"/>
    </xf>
    <xf numFmtId="0" fontId="27" fillId="0" borderId="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0" borderId="6" xfId="0" applyFont="1" applyBorder="1" applyAlignment="1">
      <alignment horizontal="center"/>
    </xf>
    <xf numFmtId="0" fontId="28" fillId="0" borderId="0" xfId="0" applyFont="1" applyAlignment="1">
      <alignment wrapText="1"/>
    </xf>
    <xf numFmtId="0" fontId="27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0" borderId="6" xfId="0" applyFont="1" applyBorder="1" applyAlignment="1">
      <alignment wrapText="1"/>
    </xf>
    <xf numFmtId="0" fontId="27" fillId="0" borderId="0" xfId="0" applyFont="1" applyAlignment="1">
      <alignment wrapText="1"/>
    </xf>
    <xf numFmtId="0" fontId="30" fillId="0" borderId="6" xfId="0" applyFont="1" applyBorder="1" applyAlignment="1">
      <alignment wrapText="1"/>
    </xf>
    <xf numFmtId="0" fontId="26" fillId="2" borderId="2" xfId="0" applyFont="1" applyFill="1" applyBorder="1"/>
    <xf numFmtId="0" fontId="27" fillId="0" borderId="3" xfId="0" applyFont="1" applyBorder="1"/>
    <xf numFmtId="0" fontId="27" fillId="0" borderId="4" xfId="0" applyFont="1" applyBorder="1"/>
    <xf numFmtId="0" fontId="32" fillId="0" borderId="6" xfId="0" applyFont="1" applyBorder="1" applyAlignment="1">
      <alignment wrapText="1"/>
    </xf>
    <xf numFmtId="0" fontId="27" fillId="0" borderId="6" xfId="0" applyFont="1" applyBorder="1" applyAlignment="1">
      <alignment horizontal="center" vertical="center"/>
    </xf>
    <xf numFmtId="0" fontId="32" fillId="0" borderId="7" xfId="0" applyFont="1" applyBorder="1" applyAlignment="1">
      <alignment wrapText="1"/>
    </xf>
    <xf numFmtId="0" fontId="29" fillId="0" borderId="1" xfId="1" applyFont="1" applyBorder="1" applyAlignment="1">
      <alignment horizontal="center"/>
    </xf>
    <xf numFmtId="0" fontId="30" fillId="0" borderId="1" xfId="1" applyFont="1" applyBorder="1" applyAlignment="1">
      <alignment horizontal="center" wrapText="1"/>
    </xf>
    <xf numFmtId="0" fontId="30" fillId="0" borderId="1" xfId="1" applyFont="1" applyBorder="1" applyAlignment="1">
      <alignment horizontal="center"/>
    </xf>
    <xf numFmtId="0" fontId="30" fillId="0" borderId="1" xfId="1" applyFont="1" applyBorder="1" applyAlignment="1">
      <alignment horizontal="center" vertical="center"/>
    </xf>
    <xf numFmtId="0" fontId="26" fillId="2" borderId="2" xfId="1" applyFont="1" applyFill="1" applyBorder="1"/>
    <xf numFmtId="0" fontId="27" fillId="0" borderId="3" xfId="1" applyFont="1" applyBorder="1"/>
    <xf numFmtId="0" fontId="27" fillId="0" borderId="4" xfId="1" applyFont="1" applyBorder="1"/>
    <xf numFmtId="0" fontId="27" fillId="0" borderId="5" xfId="1" applyFont="1" applyBorder="1" applyAlignment="1">
      <alignment horizontal="center"/>
    </xf>
    <xf numFmtId="0" fontId="27" fillId="0" borderId="6" xfId="1" applyFont="1" applyBorder="1" applyAlignment="1">
      <alignment wrapText="1"/>
    </xf>
    <xf numFmtId="0" fontId="27" fillId="0" borderId="6" xfId="1" applyFont="1" applyBorder="1" applyAlignment="1">
      <alignment horizontal="center"/>
    </xf>
    <xf numFmtId="0" fontId="32" fillId="0" borderId="6" xfId="1" applyFont="1" applyBorder="1" applyAlignment="1">
      <alignment wrapText="1"/>
    </xf>
    <xf numFmtId="0" fontId="27" fillId="0" borderId="6" xfId="1" applyFont="1" applyBorder="1" applyAlignment="1">
      <alignment horizontal="center" vertical="center"/>
    </xf>
    <xf numFmtId="0" fontId="28" fillId="0" borderId="6" xfId="1" applyFont="1" applyBorder="1" applyAlignment="1">
      <alignment horizontal="center"/>
    </xf>
    <xf numFmtId="0" fontId="29" fillId="0" borderId="6" xfId="1" applyFont="1" applyBorder="1" applyAlignment="1">
      <alignment wrapText="1"/>
    </xf>
    <xf numFmtId="0" fontId="28" fillId="0" borderId="1" xfId="1" applyFont="1" applyBorder="1" applyAlignment="1">
      <alignment horizontal="center"/>
    </xf>
    <xf numFmtId="0" fontId="29" fillId="0" borderId="1" xfId="1" applyFont="1" applyBorder="1" applyAlignment="1">
      <alignment wrapText="1"/>
    </xf>
    <xf numFmtId="0" fontId="27" fillId="0" borderId="5" xfId="1" applyFont="1" applyBorder="1"/>
    <xf numFmtId="0" fontId="27" fillId="0" borderId="5" xfId="1" applyFont="1" applyBorder="1" applyAlignment="1">
      <alignment wrapText="1"/>
    </xf>
    <xf numFmtId="0" fontId="27" fillId="0" borderId="6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6" xfId="1" applyFont="1" applyBorder="1" applyAlignment="1">
      <alignment wrapText="1"/>
    </xf>
    <xf numFmtId="0" fontId="27" fillId="0" borderId="6" xfId="1" applyFont="1" applyBorder="1"/>
    <xf numFmtId="0" fontId="32" fillId="0" borderId="6" xfId="1" applyFont="1" applyBorder="1"/>
    <xf numFmtId="0" fontId="29" fillId="0" borderId="0" xfId="1" applyFont="1"/>
    <xf numFmtId="0" fontId="27" fillId="0" borderId="1" xfId="1" applyFont="1" applyBorder="1" applyAlignment="1">
      <alignment horizontal="center"/>
    </xf>
    <xf numFmtId="0" fontId="27" fillId="0" borderId="1" xfId="1" applyFont="1" applyBorder="1" applyAlignment="1">
      <alignment wrapText="1"/>
    </xf>
    <xf numFmtId="49" fontId="27" fillId="0" borderId="6" xfId="1" applyNumberFormat="1" applyFont="1" applyBorder="1" applyAlignment="1">
      <alignment horizontal="center"/>
    </xf>
    <xf numFmtId="0" fontId="36" fillId="0" borderId="6" xfId="1" applyFont="1" applyBorder="1" applyAlignment="1">
      <alignment wrapText="1"/>
    </xf>
    <xf numFmtId="0" fontId="37" fillId="0" borderId="6" xfId="1" applyFont="1" applyBorder="1" applyAlignment="1">
      <alignment wrapText="1"/>
    </xf>
    <xf numFmtId="0" fontId="27" fillId="2" borderId="2" xfId="1" applyFont="1" applyFill="1" applyBorder="1"/>
    <xf numFmtId="49" fontId="38" fillId="0" borderId="8" xfId="2" applyNumberFormat="1" applyFont="1" applyFill="1" applyBorder="1" applyAlignment="1">
      <alignment horizontal="center"/>
    </xf>
    <xf numFmtId="49" fontId="39" fillId="0" borderId="11" xfId="2" applyNumberFormat="1" applyFont="1" applyFill="1" applyBorder="1"/>
    <xf numFmtId="0" fontId="39" fillId="0" borderId="12" xfId="2" applyFont="1" applyFill="1" applyBorder="1"/>
    <xf numFmtId="0" fontId="39" fillId="0" borderId="13" xfId="2" applyFont="1" applyFill="1" applyBorder="1"/>
    <xf numFmtId="0" fontId="39" fillId="0" borderId="14" xfId="2" applyFont="1" applyFill="1" applyBorder="1"/>
    <xf numFmtId="49" fontId="39" fillId="0" borderId="8" xfId="2" applyNumberFormat="1" applyFont="1" applyFill="1" applyBorder="1" applyAlignment="1">
      <alignment horizontal="center"/>
    </xf>
    <xf numFmtId="49" fontId="40" fillId="0" borderId="8" xfId="2" applyNumberFormat="1" applyFont="1" applyFill="1" applyBorder="1" applyAlignment="1">
      <alignment wrapText="1"/>
    </xf>
    <xf numFmtId="49" fontId="38" fillId="0" borderId="8" xfId="2" applyNumberFormat="1" applyFont="1" applyFill="1" applyBorder="1" applyAlignment="1">
      <alignment wrapText="1"/>
    </xf>
    <xf numFmtId="49" fontId="39" fillId="0" borderId="8" xfId="2" applyNumberFormat="1" applyFont="1" applyFill="1" applyBorder="1" applyAlignment="1">
      <alignment wrapText="1"/>
    </xf>
    <xf numFmtId="0" fontId="28" fillId="0" borderId="0" xfId="0" applyFont="1" applyAlignment="1">
      <alignment horizontal="center" vertical="center"/>
    </xf>
    <xf numFmtId="0" fontId="27" fillId="6" borderId="4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30" fillId="0" borderId="1" xfId="1" applyFont="1" applyBorder="1" applyAlignment="1">
      <alignment horizontal="center" vertical="center" wrapText="1"/>
    </xf>
    <xf numFmtId="0" fontId="27" fillId="0" borderId="5" xfId="1" applyFont="1" applyBorder="1" applyAlignment="1">
      <alignment horizontal="center" vertical="center" wrapText="1"/>
    </xf>
    <xf numFmtId="0" fontId="27" fillId="0" borderId="6" xfId="1" applyFont="1" applyBorder="1" applyAlignment="1">
      <alignment horizontal="center" vertical="center" wrapText="1"/>
    </xf>
    <xf numFmtId="0" fontId="44" fillId="0" borderId="6" xfId="3" applyFont="1" applyBorder="1" applyAlignment="1">
      <alignment horizontal="center" vertical="center" wrapText="1"/>
    </xf>
    <xf numFmtId="49" fontId="38" fillId="0" borderId="8" xfId="2" applyNumberFormat="1" applyFont="1" applyFill="1" applyBorder="1" applyAlignment="1">
      <alignment horizontal="center" vertical="center" wrapText="1"/>
    </xf>
    <xf numFmtId="0" fontId="39" fillId="0" borderId="8" xfId="2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6" xfId="1" applyFont="1" applyBorder="1" applyAlignment="1">
      <alignment horizontal="center" vertical="center" wrapText="1"/>
    </xf>
    <xf numFmtId="0" fontId="33" fillId="0" borderId="6" xfId="1" applyFont="1" applyBorder="1" applyAlignment="1">
      <alignment horizontal="center" vertical="center" wrapText="1"/>
    </xf>
    <xf numFmtId="49" fontId="42" fillId="0" borderId="8" xfId="2" applyNumberFormat="1" applyFont="1" applyFill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1" xr:uid="{6F60ED91-ED21-8A44-B14A-F38D16C123AB}"/>
    <cellStyle name="Normal 3" xfId="2" xr:uid="{1DDA2142-2F05-AC4A-ADBF-865872DEB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us.auth0.com/" TargetMode="External"/><Relationship Id="rId7" Type="http://schemas.openxmlformats.org/officeDocument/2006/relationships/hyperlink" Target="https://auth0.com/docs/monitoring/guides/check-external-services" TargetMode="External"/><Relationship Id="rId2" Type="http://schemas.openxmlformats.org/officeDocument/2006/relationships/hyperlink" Target="https://auth0.com/docs/security/bulletins" TargetMode="External"/><Relationship Id="rId1" Type="http://schemas.openxmlformats.org/officeDocument/2006/relationships/hyperlink" Target="https://auth0.com/docs/dashboard/dashboard-tenant-settings" TargetMode="External"/><Relationship Id="rId6" Type="http://schemas.openxmlformats.org/officeDocument/2006/relationships/hyperlink" Target="https://auth0.com/docs/extensions" TargetMode="External"/><Relationship Id="rId5" Type="http://schemas.openxmlformats.org/officeDocument/2006/relationships/hyperlink" Target="https://auth0.com/docs/logs" TargetMode="External"/><Relationship Id="rId4" Type="http://schemas.openxmlformats.org/officeDocument/2006/relationships/hyperlink" Target="https://uptime.auth0.com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us.auth0.com/" TargetMode="External"/><Relationship Id="rId7" Type="http://schemas.openxmlformats.org/officeDocument/2006/relationships/hyperlink" Target="https://auth0.com/docs/monitoring/guides/check-external-services" TargetMode="External"/><Relationship Id="rId2" Type="http://schemas.openxmlformats.org/officeDocument/2006/relationships/hyperlink" Target="https://auth0.com/docs/security/bulletins" TargetMode="External"/><Relationship Id="rId1" Type="http://schemas.openxmlformats.org/officeDocument/2006/relationships/hyperlink" Target="https://auth0.com/docs/dashboard/dashboard-tenant-settings" TargetMode="External"/><Relationship Id="rId6" Type="http://schemas.openxmlformats.org/officeDocument/2006/relationships/hyperlink" Target="https://auth0.com/docs/extensions" TargetMode="External"/><Relationship Id="rId5" Type="http://schemas.openxmlformats.org/officeDocument/2006/relationships/hyperlink" Target="https://auth0.com/docs/logs" TargetMode="External"/><Relationship Id="rId4" Type="http://schemas.openxmlformats.org/officeDocument/2006/relationships/hyperlink" Target="https://uptime.auth0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2"/>
  <sheetViews>
    <sheetView tabSelected="1" topLeftCell="A94" zoomScale="187" zoomScaleNormal="200" workbookViewId="0">
      <selection activeCell="E112" sqref="A1:E112"/>
    </sheetView>
  </sheetViews>
  <sheetFormatPr baseColWidth="10" defaultColWidth="14.5" defaultRowHeight="11" x14ac:dyDescent="0.15"/>
  <cols>
    <col min="1" max="1" width="8.83203125" style="49" customWidth="1"/>
    <col min="2" max="2" width="31.33203125" style="57" customWidth="1"/>
    <col min="3" max="3" width="20" style="117" customWidth="1"/>
    <col min="4" max="4" width="14.33203125" style="106" customWidth="1"/>
    <col min="5" max="5" width="21.6640625" style="117" customWidth="1"/>
    <col min="6" max="16384" width="14.5" style="49"/>
  </cols>
  <sheetData>
    <row r="1" spans="1:5" x14ac:dyDescent="0.15">
      <c r="A1" s="46" t="s">
        <v>154</v>
      </c>
      <c r="B1" s="47"/>
      <c r="C1" s="118"/>
      <c r="D1" s="48"/>
      <c r="E1" s="107"/>
    </row>
    <row r="2" spans="1:5" ht="12" x14ac:dyDescent="0.15">
      <c r="A2" s="50" t="s">
        <v>0</v>
      </c>
      <c r="B2" s="51" t="s">
        <v>1</v>
      </c>
      <c r="C2" s="108" t="s">
        <v>2</v>
      </c>
      <c r="D2" s="52" t="s">
        <v>156</v>
      </c>
      <c r="E2" s="108" t="s">
        <v>4</v>
      </c>
    </row>
    <row r="3" spans="1:5" x14ac:dyDescent="0.15">
      <c r="A3" s="46" t="str">
        <f>HYPERLINK("https://auth0.com/docs/architecture-scenarios","Architecture")</f>
        <v>Architecture</v>
      </c>
      <c r="B3" s="47"/>
      <c r="C3" s="118"/>
      <c r="D3" s="48"/>
      <c r="E3" s="107"/>
    </row>
    <row r="4" spans="1:5" ht="36" x14ac:dyDescent="0.15">
      <c r="A4" s="53" t="s">
        <v>5</v>
      </c>
      <c r="B4" s="54" t="s">
        <v>167</v>
      </c>
      <c r="C4" s="119" t="str">
        <f>HYPERLINK("https://auth0.com/docs/getting-started/the-basics#account-and-tenants","Accounts and Tenants")</f>
        <v>Accounts and Tenants</v>
      </c>
      <c r="D4" s="55" t="b">
        <v>1</v>
      </c>
      <c r="E4" s="109" t="s">
        <v>163</v>
      </c>
    </row>
    <row r="5" spans="1:5" ht="36" x14ac:dyDescent="0.15">
      <c r="A5" s="56" t="s">
        <v>6</v>
      </c>
      <c r="B5" s="57" t="s">
        <v>168</v>
      </c>
      <c r="C5" s="120" t="str">
        <f>HYPERLINK("https://auth0.com/docs/best-practices/tenant-settings","Tenant Settings Best Practices")</f>
        <v>Tenant Settings Best Practices</v>
      </c>
      <c r="D5" s="58" t="b">
        <v>1</v>
      </c>
      <c r="E5" s="110" t="s">
        <v>164</v>
      </c>
    </row>
    <row r="6" spans="1:5" ht="48" x14ac:dyDescent="0.15">
      <c r="A6" s="56" t="s">
        <v>7</v>
      </c>
      <c r="B6" s="59" t="s">
        <v>169</v>
      </c>
      <c r="C6" s="120" t="str">
        <f t="shared" ref="C6:C7" si="0">HYPERLINK("https://auth0.com/docs/dev-lifecycle/setting-up-env","Set Up Multiple Environments")</f>
        <v>Set Up Multiple Environments</v>
      </c>
      <c r="D6" s="58" t="b">
        <v>1</v>
      </c>
      <c r="E6" s="110" t="s">
        <v>166</v>
      </c>
    </row>
    <row r="7" spans="1:5" ht="48" x14ac:dyDescent="0.15">
      <c r="A7" s="56" t="s">
        <v>8</v>
      </c>
      <c r="B7" s="60" t="s">
        <v>170</v>
      </c>
      <c r="C7" s="120" t="str">
        <f t="shared" si="0"/>
        <v>Set Up Multiple Environments</v>
      </c>
      <c r="D7" s="58" t="b">
        <v>1</v>
      </c>
      <c r="E7" s="110" t="s">
        <v>165</v>
      </c>
    </row>
    <row r="8" spans="1:5" ht="36" x14ac:dyDescent="0.15">
      <c r="A8" s="56" t="s">
        <v>9</v>
      </c>
      <c r="B8" s="59" t="s">
        <v>171</v>
      </c>
      <c r="C8" s="120" t="str">
        <f>HYPERLINK("https://auth0.com/docs/custom-domains","Custom Domains")</f>
        <v>Custom Domains</v>
      </c>
      <c r="D8" s="58" t="b">
        <v>1</v>
      </c>
      <c r="E8" s="110" t="s">
        <v>241</v>
      </c>
    </row>
    <row r="9" spans="1:5" ht="60" x14ac:dyDescent="0.15">
      <c r="A9" s="56" t="s">
        <v>11</v>
      </c>
      <c r="B9" s="59" t="s">
        <v>12</v>
      </c>
      <c r="C9" s="120" t="str">
        <f>HYPERLINK("https://auth0.com/docs/dev-lifecycle/child-tenants","Child Tenant Request Process")</f>
        <v>Child Tenant Request Process</v>
      </c>
      <c r="D9" s="58" t="b">
        <v>1</v>
      </c>
      <c r="E9" s="110"/>
    </row>
    <row r="10" spans="1:5" ht="36" x14ac:dyDescent="0.15">
      <c r="A10" s="56" t="s">
        <v>13</v>
      </c>
      <c r="B10" s="61" t="s">
        <v>172</v>
      </c>
      <c r="C10" s="120" t="str">
        <f>HYPERLINK("https://auth0.com/docs/topics/extensibility#extensions","Extensions")</f>
        <v>Extensions</v>
      </c>
      <c r="D10" s="58" t="b">
        <v>1</v>
      </c>
      <c r="E10" s="110" t="s">
        <v>242</v>
      </c>
    </row>
    <row r="11" spans="1:5" x14ac:dyDescent="0.15">
      <c r="A11" s="62" t="str">
        <f>HYPERLINK("https://auth0.com/docs/users","User Provisioning")</f>
        <v>User Provisioning</v>
      </c>
      <c r="B11" s="63"/>
      <c r="C11" s="63"/>
      <c r="D11" s="63"/>
      <c r="E11" s="64"/>
    </row>
    <row r="12" spans="1:5" ht="36" x14ac:dyDescent="0.15">
      <c r="A12" s="56" t="s">
        <v>14</v>
      </c>
      <c r="B12" s="65" t="s">
        <v>173</v>
      </c>
      <c r="C12" s="120" t="str">
        <f>HYPERLINK("https://auth0.com/docs/connections/database","Database Identity Providers")</f>
        <v>Database Identity Providers</v>
      </c>
      <c r="D12" s="58" t="b">
        <v>1</v>
      </c>
      <c r="E12" s="110" t="s">
        <v>243</v>
      </c>
    </row>
    <row r="13" spans="1:5" ht="48" x14ac:dyDescent="0.15">
      <c r="A13" s="56" t="s">
        <v>15</v>
      </c>
      <c r="B13" s="65" t="s">
        <v>174</v>
      </c>
      <c r="C13" s="120" t="str">
        <f>HYPERLINK("https://auth0.com/docs/connections/database#migrating-to-auth0-from-a-custom-user-store","Migrating to Auth0 from a Custom User Store")</f>
        <v>Migrating to Auth0 from a Custom User Store</v>
      </c>
      <c r="D13" s="58" t="b">
        <v>0</v>
      </c>
      <c r="E13" s="110" t="s">
        <v>158</v>
      </c>
    </row>
    <row r="14" spans="1:5" ht="36" x14ac:dyDescent="0.15">
      <c r="A14" s="56" t="s">
        <v>16</v>
      </c>
      <c r="B14" s="65" t="s">
        <v>175</v>
      </c>
      <c r="C14" s="120" t="str">
        <f>HYPERLINK("https://auth0.com/docs/connections/database/custom-db","Authenticate Users Using Your Database")</f>
        <v>Authenticate Users Using Your Database</v>
      </c>
      <c r="D14" s="66" t="s">
        <v>162</v>
      </c>
      <c r="E14" s="110"/>
    </row>
    <row r="15" spans="1:5" ht="36" x14ac:dyDescent="0.15">
      <c r="A15" s="56" t="s">
        <v>18</v>
      </c>
      <c r="B15" s="59" t="s">
        <v>176</v>
      </c>
      <c r="C15" s="120" t="str">
        <f>HYPERLINK("https://auth0.com/docs/identityproviders#social","Social Identity Providers")</f>
        <v>Social Identity Providers</v>
      </c>
      <c r="D15" s="66" t="s">
        <v>162</v>
      </c>
      <c r="E15" s="110"/>
    </row>
    <row r="16" spans="1:5" ht="48" x14ac:dyDescent="0.15">
      <c r="A16" s="56" t="s">
        <v>19</v>
      </c>
      <c r="B16" s="61" t="s">
        <v>177</v>
      </c>
      <c r="C16" s="120" t="str">
        <f>HYPERLINK("https://auth0.com/docs/hooks","Hooks")</f>
        <v>Hooks</v>
      </c>
      <c r="D16" s="58" t="b">
        <v>1</v>
      </c>
      <c r="E16" s="110" t="s">
        <v>244</v>
      </c>
    </row>
    <row r="17" spans="1:5" x14ac:dyDescent="0.15">
      <c r="A17" s="62" t="str">
        <f>HYPERLINK("https://auth0.com/docs/application-auth/current","User Authentication")</f>
        <v>User Authentication</v>
      </c>
      <c r="B17" s="63"/>
      <c r="C17" s="63"/>
      <c r="D17" s="63"/>
      <c r="E17" s="64"/>
    </row>
    <row r="18" spans="1:5" ht="36" x14ac:dyDescent="0.15">
      <c r="A18" s="56" t="s">
        <v>20</v>
      </c>
      <c r="B18" s="67" t="s">
        <v>178</v>
      </c>
      <c r="C18" s="120" t="str">
        <f>HYPERLINK("https://auth0.com/docs/universal-login","Universal Login")</f>
        <v>Universal Login</v>
      </c>
      <c r="D18" s="58" t="b">
        <v>1</v>
      </c>
      <c r="E18" s="110" t="s">
        <v>245</v>
      </c>
    </row>
    <row r="19" spans="1:5" x14ac:dyDescent="0.15">
      <c r="A19" s="46" t="s">
        <v>155</v>
      </c>
      <c r="B19" s="47"/>
      <c r="C19" s="118"/>
      <c r="D19" s="48"/>
      <c r="E19" s="107"/>
    </row>
    <row r="20" spans="1:5" ht="12" x14ac:dyDescent="0.15">
      <c r="A20" s="68" t="s">
        <v>0</v>
      </c>
      <c r="B20" s="69" t="s">
        <v>1</v>
      </c>
      <c r="C20" s="111" t="s">
        <v>2</v>
      </c>
      <c r="D20" s="71" t="s">
        <v>156</v>
      </c>
      <c r="E20" s="111" t="s">
        <v>4</v>
      </c>
    </row>
    <row r="21" spans="1:5" x14ac:dyDescent="0.15">
      <c r="A21" s="72" t="str">
        <f>HYPERLINK("https://auth0.com/docs/architecture-scenarios","Architecture")</f>
        <v>Architecture</v>
      </c>
      <c r="B21" s="73"/>
      <c r="C21" s="73"/>
      <c r="D21" s="73"/>
      <c r="E21" s="74"/>
    </row>
    <row r="22" spans="1:5" ht="36" x14ac:dyDescent="0.15">
      <c r="A22" s="75" t="s">
        <v>21</v>
      </c>
      <c r="B22" s="76" t="s">
        <v>171</v>
      </c>
      <c r="C22" s="121" t="str">
        <f>HYPERLINK("https://auth0.com/docs/custom-domains","Custom Domains")</f>
        <v>Custom Domains</v>
      </c>
      <c r="D22" s="58" t="b">
        <v>1</v>
      </c>
      <c r="E22" s="112"/>
    </row>
    <row r="23" spans="1:5" x14ac:dyDescent="0.15">
      <c r="A23" s="72" t="str">
        <f>HYPERLINK("https://auth0.com/docs/users","User Provisioning")</f>
        <v>User Provisioning</v>
      </c>
      <c r="B23" s="73"/>
      <c r="C23" s="73"/>
      <c r="D23" s="73"/>
      <c r="E23" s="74"/>
    </row>
    <row r="24" spans="1:5" ht="48" x14ac:dyDescent="0.15">
      <c r="A24" s="77" t="s">
        <v>22</v>
      </c>
      <c r="B24" s="78" t="s">
        <v>179</v>
      </c>
      <c r="C24" s="121" t="str">
        <f>HYPERLINK("https://auth0.com/docs/connections/database","Database Identity Providers")</f>
        <v>Database Identity Providers</v>
      </c>
      <c r="D24" s="58" t="b">
        <v>1</v>
      </c>
      <c r="E24" s="113"/>
    </row>
    <row r="25" spans="1:5" ht="48" x14ac:dyDescent="0.15">
      <c r="A25" s="77" t="s">
        <v>24</v>
      </c>
      <c r="B25" s="78" t="s">
        <v>180</v>
      </c>
      <c r="C25" s="121" t="str">
        <f>HYPERLINK("https://auth0.com/docs/users/concepts/overview-user-migration","User Migration")</f>
        <v>User Migration</v>
      </c>
      <c r="D25" s="58" t="b">
        <v>0</v>
      </c>
      <c r="E25" s="113" t="s">
        <v>158</v>
      </c>
    </row>
    <row r="26" spans="1:5" ht="36" x14ac:dyDescent="0.15">
      <c r="A26" s="77" t="s">
        <v>26</v>
      </c>
      <c r="B26" s="78" t="s">
        <v>175</v>
      </c>
      <c r="C26" s="121" t="str">
        <f>HYPERLINK("https://auth0.com/docs/connections/database/custom-db","Authenticate Users Using Your Database")</f>
        <v>Authenticate Users Using Your Database</v>
      </c>
      <c r="D26" s="58" t="b">
        <v>1</v>
      </c>
      <c r="E26" s="113"/>
    </row>
    <row r="27" spans="1:5" x14ac:dyDescent="0.15">
      <c r="A27" s="72" t="str">
        <f>HYPERLINK("https://auth0.com/docs/application-auth/current","User Authentication")</f>
        <v>User Authentication</v>
      </c>
      <c r="B27" s="73"/>
      <c r="C27" s="73"/>
      <c r="D27" s="73"/>
      <c r="E27" s="74"/>
    </row>
    <row r="28" spans="1:5" ht="48" x14ac:dyDescent="0.15">
      <c r="A28" s="80" t="s">
        <v>27</v>
      </c>
      <c r="B28" s="81" t="s">
        <v>181</v>
      </c>
      <c r="C28" s="121" t="str">
        <f>HYPERLINK("https://auth0.com/docs/quickstarts","Quickstarts")</f>
        <v>Quickstarts</v>
      </c>
      <c r="D28" s="58" t="b">
        <v>1</v>
      </c>
      <c r="E28" s="113"/>
    </row>
    <row r="29" spans="1:5" ht="36" x14ac:dyDescent="0.15">
      <c r="A29" s="80" t="s">
        <v>29</v>
      </c>
      <c r="B29" s="81" t="s">
        <v>182</v>
      </c>
      <c r="C29" s="121" t="str">
        <f>HYPERLINK("https://auth0.com/docs/universal-login","Universal Login")</f>
        <v>Universal Login</v>
      </c>
      <c r="D29" s="58" t="b">
        <v>1</v>
      </c>
      <c r="E29" s="113"/>
    </row>
    <row r="30" spans="1:5" ht="12" x14ac:dyDescent="0.15">
      <c r="A30" s="82" t="s">
        <v>31</v>
      </c>
      <c r="B30" s="83" t="s">
        <v>183</v>
      </c>
      <c r="C30" s="121" t="str">
        <f>HYPERLINK("https://auth0.com/docs/universal-login#simple-customization","Simple Login Customization")</f>
        <v>Simple Login Customization</v>
      </c>
      <c r="D30" s="58" t="b">
        <v>1</v>
      </c>
      <c r="E30" s="113" t="s">
        <v>246</v>
      </c>
    </row>
    <row r="31" spans="1:5" ht="12" x14ac:dyDescent="0.15">
      <c r="A31" s="84"/>
      <c r="B31" s="85"/>
      <c r="C31" s="121" t="str">
        <f>HYPERLINK("https://auth0.com/docs/universal-login#advanced-customization","Advanced Login Customization")</f>
        <v>Advanced Login Customization</v>
      </c>
      <c r="D31" s="58" t="b">
        <v>1</v>
      </c>
      <c r="E31" s="113" t="s">
        <v>247</v>
      </c>
    </row>
    <row r="32" spans="1:5" ht="48" x14ac:dyDescent="0.15">
      <c r="A32" s="80" t="s">
        <v>33</v>
      </c>
      <c r="B32" s="81" t="s">
        <v>184</v>
      </c>
      <c r="C32" s="121" t="str">
        <f>HYPERLINK("https://auth0.com/docs/universal-login/password-reset#edit-the-password-reset-page","Edit Password Reset Page")</f>
        <v>Edit Password Reset Page</v>
      </c>
      <c r="D32" s="86" t="b">
        <v>1</v>
      </c>
      <c r="E32" s="114" t="str">
        <f>HYPERLINK("https://lucid.app/lucidspark/366b3e2e-2fad-4f97-aa40-f7dcc507cf26/edit?page=0_0#", "SSO Planning Board")</f>
        <v>SSO Planning Board</v>
      </c>
    </row>
    <row r="33" spans="1:5" ht="48" x14ac:dyDescent="0.15">
      <c r="A33" s="80" t="s">
        <v>35</v>
      </c>
      <c r="B33" s="81" t="s">
        <v>185</v>
      </c>
      <c r="C33" s="121" t="str">
        <f>HYPERLINK("https://auth0.com/docs/universal-login/guardian","Guardian Multi-factor Login Page")</f>
        <v>Guardian Multi-factor Login Page</v>
      </c>
      <c r="D33" s="86" t="s">
        <v>162</v>
      </c>
      <c r="E33" s="113"/>
    </row>
    <row r="34" spans="1:5" ht="48" x14ac:dyDescent="0.15">
      <c r="A34" s="80" t="s">
        <v>37</v>
      </c>
      <c r="B34" s="81" t="s">
        <v>186</v>
      </c>
      <c r="C34" s="121" t="str">
        <f>HYPERLINK("https://auth0.com/docs/connections/social/devkeys","Test Social Connections with Auth0 Developer Keys")</f>
        <v>Test Social Connections with Auth0 Developer Keys</v>
      </c>
      <c r="D34" s="79" t="s">
        <v>162</v>
      </c>
      <c r="E34" s="113"/>
    </row>
    <row r="35" spans="1:5" ht="48" x14ac:dyDescent="0.15">
      <c r="A35" s="80" t="s">
        <v>39</v>
      </c>
      <c r="B35" s="81" t="s">
        <v>187</v>
      </c>
      <c r="C35" s="121" t="str">
        <f>HYPERLINK("https://auth0.com/docs/extensions/custom-social-extensions","Custom Social Connections")</f>
        <v>Custom Social Connections</v>
      </c>
      <c r="D35" s="79" t="s">
        <v>162</v>
      </c>
      <c r="E35" s="113"/>
    </row>
    <row r="36" spans="1:5" ht="48" x14ac:dyDescent="0.15">
      <c r="A36" s="80" t="s">
        <v>41</v>
      </c>
      <c r="B36" s="81" t="s">
        <v>188</v>
      </c>
      <c r="C36" s="121" t="str">
        <f>HYPERLINK("https://auth0.com/docs/protocols/saml/saml-configuration/design-considerations#considerations-for-using-auth0-as-service-provider","SAML Considerations for Using Auth0 as Service Provider")</f>
        <v>SAML Considerations for Using Auth0 as Service Provider</v>
      </c>
      <c r="D36" s="86" t="b">
        <v>1</v>
      </c>
      <c r="E36" s="113"/>
    </row>
    <row r="37" spans="1:5" x14ac:dyDescent="0.15">
      <c r="A37" s="46" t="s">
        <v>157</v>
      </c>
      <c r="B37" s="47"/>
      <c r="C37" s="118"/>
      <c r="D37" s="48"/>
      <c r="E37" s="107"/>
    </row>
    <row r="38" spans="1:5" ht="12" x14ac:dyDescent="0.15">
      <c r="A38" s="68" t="s">
        <v>0</v>
      </c>
      <c r="B38" s="70" t="s">
        <v>1</v>
      </c>
      <c r="C38" s="111" t="s">
        <v>2</v>
      </c>
      <c r="D38" s="71" t="s">
        <v>156</v>
      </c>
      <c r="E38" s="111" t="s">
        <v>4</v>
      </c>
    </row>
    <row r="39" spans="1:5" x14ac:dyDescent="0.15">
      <c r="A39" s="72" t="str">
        <f>HYPERLINK("https://auth0.com/docs/architecture-scenarios","Architecture")</f>
        <v>Architecture</v>
      </c>
      <c r="B39" s="73"/>
      <c r="C39" s="73"/>
      <c r="D39" s="73"/>
      <c r="E39" s="74"/>
    </row>
    <row r="40" spans="1:5" ht="48" x14ac:dyDescent="0.15">
      <c r="A40" s="77" t="s">
        <v>43</v>
      </c>
      <c r="B40" s="76" t="s">
        <v>189</v>
      </c>
      <c r="C40" s="121" t="str">
        <f>HYPERLINK("https://auth0.com/docs/best-practices/rules#security-recommendations","Rules Security Recommendations")</f>
        <v>Rules Security Recommendations</v>
      </c>
      <c r="D40" s="86" t="b">
        <v>1</v>
      </c>
      <c r="E40" s="113"/>
    </row>
    <row r="41" spans="1:5" ht="48" x14ac:dyDescent="0.15">
      <c r="A41" s="77" t="s">
        <v>45</v>
      </c>
      <c r="B41" s="87" t="s">
        <v>190</v>
      </c>
      <c r="C41" s="122" t="str">
        <f>HYPERLINK("https://auth0.com/docs/hooks","Hooks")</f>
        <v>Hooks</v>
      </c>
      <c r="D41" s="86" t="b">
        <v>1</v>
      </c>
      <c r="E41" s="113"/>
    </row>
    <row r="42" spans="1:5" ht="60" x14ac:dyDescent="0.15">
      <c r="A42" s="77" t="s">
        <v>47</v>
      </c>
      <c r="B42" s="87" t="s">
        <v>191</v>
      </c>
      <c r="C42" s="122" t="str">
        <f>HYPERLINK("https://auth0.com/docs/connections/database/custom-db/create-db-connection#step-3-add-configuration-parameters","Add Custom Database Configuration Parameters")</f>
        <v>Add Custom Database Configuration Parameters</v>
      </c>
      <c r="D42" s="86" t="b">
        <v>1</v>
      </c>
      <c r="E42" s="113" t="s">
        <v>249</v>
      </c>
    </row>
    <row r="43" spans="1:5" ht="60" x14ac:dyDescent="0.15">
      <c r="A43" s="77" t="s">
        <v>49</v>
      </c>
      <c r="B43" s="78" t="s">
        <v>192</v>
      </c>
      <c r="C43" s="122" t="str">
        <f>HYPERLINK("https://auth0.com/docs/extensions/realtime-webtask-logs","Real-time Webtask Logs")</f>
        <v>Real-time Webtask Logs</v>
      </c>
      <c r="D43" s="86" t="b">
        <v>1</v>
      </c>
      <c r="E43" s="113"/>
    </row>
    <row r="44" spans="1:5" ht="49" customHeight="1" x14ac:dyDescent="0.15">
      <c r="A44" s="77" t="s">
        <v>51</v>
      </c>
      <c r="B44" s="78" t="s">
        <v>193</v>
      </c>
      <c r="C44" s="122" t="str">
        <f>HYPERLINK("https://auth0.com/blog/continuous-deployment-pipelines-and-open-source-node-js-web-apps/","Continuous Deployment Pipelines and Open Source Node.js Web Apps")</f>
        <v>Continuous Deployment Pipelines and Open Source Node.js Web Apps</v>
      </c>
      <c r="D44" s="79" t="s">
        <v>158</v>
      </c>
      <c r="E44" s="113" t="s">
        <v>248</v>
      </c>
    </row>
    <row r="45" spans="1:5" x14ac:dyDescent="0.15">
      <c r="A45" s="72" t="str">
        <f>HYPERLINK("https://auth0.com/docs/users","User Provisioning")</f>
        <v>User Provisioning</v>
      </c>
      <c r="B45" s="73"/>
      <c r="C45" s="73"/>
      <c r="D45" s="73"/>
      <c r="E45" s="74"/>
    </row>
    <row r="46" spans="1:5" ht="60" x14ac:dyDescent="0.15">
      <c r="A46" s="77" t="s">
        <v>53</v>
      </c>
      <c r="B46" s="78" t="s">
        <v>194</v>
      </c>
      <c r="C46" s="121" t="str">
        <f>HYPERLINK("https://auth0.com/docs/connections/database/custom-db/create-db-connection#step-2-create-database-action-scripts","Create Database Action Scripts")</f>
        <v>Create Database Action Scripts</v>
      </c>
      <c r="D46" s="86" t="b">
        <v>1</v>
      </c>
      <c r="E46" s="113"/>
    </row>
    <row r="47" spans="1:5" ht="60" x14ac:dyDescent="0.15">
      <c r="A47" s="77" t="s">
        <v>55</v>
      </c>
      <c r="B47" s="78" t="s">
        <v>195</v>
      </c>
      <c r="C47" s="122" t="str">
        <f>HYPERLINK("https://auth0.com/docs/hooks","Hooks")</f>
        <v>Hooks</v>
      </c>
      <c r="D47" s="86" t="b">
        <v>1</v>
      </c>
      <c r="E47" s="113"/>
    </row>
    <row r="48" spans="1:5" x14ac:dyDescent="0.15">
      <c r="A48" s="72" t="str">
        <f>HYPERLINK("https://auth0.com/docs/application-auth/current","User Authentication")</f>
        <v>User Authentication</v>
      </c>
      <c r="B48" s="73"/>
      <c r="C48" s="73"/>
      <c r="D48" s="73"/>
      <c r="E48" s="74"/>
    </row>
    <row r="49" spans="1:5" ht="48" x14ac:dyDescent="0.15">
      <c r="A49" s="80" t="s">
        <v>57</v>
      </c>
      <c r="B49" s="81" t="s">
        <v>181</v>
      </c>
      <c r="C49" s="121" t="str">
        <f>HYPERLINK("https://auth0.com/docs/quickstarts","Quickstarts")</f>
        <v>Quickstarts</v>
      </c>
      <c r="D49" s="86" t="b">
        <v>1</v>
      </c>
      <c r="E49" s="113"/>
    </row>
    <row r="50" spans="1:5" ht="60" x14ac:dyDescent="0.15">
      <c r="A50" s="80" t="s">
        <v>58</v>
      </c>
      <c r="B50" s="81" t="s">
        <v>196</v>
      </c>
      <c r="C50" s="121" t="str">
        <f>HYPERLINK("https://auth0.com/docs/applications","Applications")</f>
        <v>Applications</v>
      </c>
      <c r="D50" s="86" t="b">
        <v>1</v>
      </c>
      <c r="E50" s="113"/>
    </row>
    <row r="51" spans="1:5" ht="48" x14ac:dyDescent="0.15">
      <c r="A51" s="80" t="s">
        <v>60</v>
      </c>
      <c r="B51" s="81" t="s">
        <v>197</v>
      </c>
      <c r="C51" s="121" t="str">
        <f>HYPERLINK("https://auth0.com/docs/libraries","Libraries")</f>
        <v>Libraries</v>
      </c>
      <c r="D51" s="86" t="b">
        <v>1</v>
      </c>
      <c r="E51" s="113"/>
    </row>
    <row r="52" spans="1:5" ht="48" x14ac:dyDescent="0.15">
      <c r="A52" s="80" t="s">
        <v>62</v>
      </c>
      <c r="B52" s="81" t="s">
        <v>198</v>
      </c>
      <c r="C52" s="121" t="str">
        <f>HYPERLINK("https://auth0.com/docs/policies/rate-limits#authentication-api","Rate Limit Policy for Auth0 APIs")</f>
        <v>Rate Limit Policy for Auth0 APIs</v>
      </c>
      <c r="D52" s="86" t="b">
        <v>1</v>
      </c>
      <c r="E52" s="113"/>
    </row>
    <row r="53" spans="1:5" x14ac:dyDescent="0.15">
      <c r="A53" s="46" t="s">
        <v>159</v>
      </c>
      <c r="B53" s="47"/>
      <c r="C53" s="118"/>
      <c r="D53" s="48"/>
      <c r="E53" s="107"/>
    </row>
    <row r="54" spans="1:5" ht="12" x14ac:dyDescent="0.15">
      <c r="A54" s="68" t="s">
        <v>0</v>
      </c>
      <c r="B54" s="70" t="s">
        <v>1</v>
      </c>
      <c r="C54" s="111" t="s">
        <v>2</v>
      </c>
      <c r="D54" s="70" t="s">
        <v>156</v>
      </c>
      <c r="E54" s="111" t="s">
        <v>4</v>
      </c>
    </row>
    <row r="55" spans="1:5" x14ac:dyDescent="0.15">
      <c r="A55" s="72" t="str">
        <f>HYPERLINK("https://auth0.com/docs/architecture-scenarios","Architecture")</f>
        <v>Architecture</v>
      </c>
      <c r="B55" s="73"/>
      <c r="C55" s="73"/>
      <c r="D55" s="73"/>
      <c r="E55" s="74"/>
    </row>
    <row r="56" spans="1:5" ht="36" x14ac:dyDescent="0.15">
      <c r="A56" s="77" t="s">
        <v>64</v>
      </c>
      <c r="B56" s="76" t="s">
        <v>199</v>
      </c>
      <c r="C56" s="121" t="str">
        <f>HYPERLINK("https://auth0.com/docs/sso/current/configure-session-lifetime-limits","Configure Session Lifetime Limits for SSO")</f>
        <v>Configure Session Lifetime Limits for SSO</v>
      </c>
      <c r="D56" s="86" t="b">
        <v>1</v>
      </c>
      <c r="E56" s="113"/>
    </row>
    <row r="57" spans="1:5" ht="48" x14ac:dyDescent="0.15">
      <c r="A57" s="77" t="s">
        <v>66</v>
      </c>
      <c r="B57" s="87" t="s">
        <v>200</v>
      </c>
      <c r="C57" s="122" t="str">
        <f>HYPERLINK("https://auth0.com/docs/logout#redirect-users-after-logout","Redirect Users After Logout")</f>
        <v>Redirect Users After Logout</v>
      </c>
      <c r="D57" s="86" t="b">
        <v>1</v>
      </c>
      <c r="E57" s="113"/>
    </row>
    <row r="58" spans="1:5" ht="24" x14ac:dyDescent="0.15">
      <c r="A58" s="77" t="s">
        <v>68</v>
      </c>
      <c r="B58" s="87" t="s">
        <v>201</v>
      </c>
      <c r="C58" s="122" t="s">
        <v>70</v>
      </c>
      <c r="D58" s="86" t="b">
        <v>1</v>
      </c>
      <c r="E58" s="113"/>
    </row>
    <row r="59" spans="1:5" ht="48" x14ac:dyDescent="0.15">
      <c r="A59" s="77" t="s">
        <v>71</v>
      </c>
      <c r="B59" s="78" t="s">
        <v>202</v>
      </c>
      <c r="C59" s="122" t="s">
        <v>73</v>
      </c>
      <c r="D59" s="86" t="b">
        <v>1</v>
      </c>
      <c r="E59" s="113"/>
    </row>
    <row r="60" spans="1:5" ht="60" x14ac:dyDescent="0.15">
      <c r="A60" s="77" t="s">
        <v>74</v>
      </c>
      <c r="B60" s="78" t="s">
        <v>203</v>
      </c>
      <c r="C60" s="122" t="str">
        <f>HYPERLINK("https://auth0.com/docs/extensions/realtime-webtask-logs","Real-time Webtask Logs")</f>
        <v>Real-time Webtask Logs</v>
      </c>
      <c r="D60" s="86" t="b">
        <v>1</v>
      </c>
      <c r="E60" s="113"/>
    </row>
    <row r="61" spans="1:5" x14ac:dyDescent="0.15">
      <c r="A61" s="72" t="str">
        <f>HYPERLINK("https://auth0.com/docs/application-auth/current","User Authentication")</f>
        <v>User Authentication</v>
      </c>
      <c r="B61" s="73"/>
      <c r="C61" s="73"/>
      <c r="D61" s="73"/>
      <c r="E61" s="74"/>
    </row>
    <row r="62" spans="1:5" ht="36" x14ac:dyDescent="0.15">
      <c r="A62" s="77" t="s">
        <v>76</v>
      </c>
      <c r="B62" s="78" t="s">
        <v>204</v>
      </c>
      <c r="C62" s="121" t="str">
        <f>HYPERLINK("https://auth0.com/docs/users/guides/redirect-users-after-login","Redirect Users After Login")</f>
        <v>Redirect Users After Login</v>
      </c>
      <c r="D62" s="86" t="b">
        <v>1</v>
      </c>
      <c r="E62" s="113"/>
    </row>
    <row r="63" spans="1:5" x14ac:dyDescent="0.15">
      <c r="A63" s="72" t="str">
        <f>HYPERLINK("https://auth0.com/docs/support/testing","Quality Assurance")</f>
        <v>Quality Assurance</v>
      </c>
      <c r="B63" s="73"/>
      <c r="C63" s="73"/>
      <c r="D63" s="73"/>
      <c r="E63" s="74"/>
    </row>
    <row r="64" spans="1:5" ht="12" x14ac:dyDescent="0.15">
      <c r="A64" s="77" t="s">
        <v>78</v>
      </c>
      <c r="B64" s="89" t="s">
        <v>205</v>
      </c>
      <c r="C64" s="121" t="str">
        <f>HYPERLINK("https://auth0.com/docs/support/testing#performance-testing","Performance Testing")</f>
        <v>Performance Testing</v>
      </c>
      <c r="D64" s="86" t="b">
        <v>1</v>
      </c>
      <c r="E64" s="113"/>
    </row>
    <row r="65" spans="1:5" ht="12" x14ac:dyDescent="0.15">
      <c r="A65" s="77" t="s">
        <v>80</v>
      </c>
      <c r="B65" s="90" t="s">
        <v>206</v>
      </c>
      <c r="C65" s="121" t="str">
        <f>HYPERLINK("https://auth0.com/docs/support/testing#third-party-testing-tools","Third-Party Testing Tools")</f>
        <v>Third-Party Testing Tools</v>
      </c>
      <c r="D65" s="86" t="b">
        <v>1</v>
      </c>
      <c r="E65" s="113"/>
    </row>
    <row r="66" spans="1:5" ht="48" x14ac:dyDescent="0.15">
      <c r="A66" s="77" t="s">
        <v>82</v>
      </c>
      <c r="B66" s="76" t="s">
        <v>207</v>
      </c>
      <c r="C66" s="121" t="str">
        <f>HYPERLINK("https://auth0.com/docs/policies/load-testing#how-to-request","How to Request Load Testing")</f>
        <v>How to Request Load Testing</v>
      </c>
      <c r="D66" s="86" t="b">
        <v>0</v>
      </c>
      <c r="E66" s="113"/>
    </row>
    <row r="67" spans="1:5" ht="12" x14ac:dyDescent="0.15">
      <c r="A67" s="91" t="s">
        <v>84</v>
      </c>
      <c r="B67" s="92" t="s">
        <v>208</v>
      </c>
      <c r="C67" s="121" t="str">
        <f>HYPERLINK("https://auth0.com/docs/policies/load-testing","Load Testing Policy")</f>
        <v>Load Testing Policy</v>
      </c>
      <c r="D67" s="86" t="b">
        <v>0</v>
      </c>
      <c r="E67" s="113"/>
    </row>
    <row r="68" spans="1:5" ht="12" x14ac:dyDescent="0.15">
      <c r="A68" s="84"/>
      <c r="B68" s="84"/>
      <c r="C68" s="121" t="str">
        <f>HYPERLINK("https://auth0.com/docs/policies/load-testing#test-requirements","Load Testing Requirements")</f>
        <v>Load Testing Requirements</v>
      </c>
      <c r="D68" s="86" t="b">
        <v>0</v>
      </c>
      <c r="E68" s="113"/>
    </row>
    <row r="69" spans="1:5" ht="48" x14ac:dyDescent="0.15">
      <c r="A69" s="77" t="s">
        <v>86</v>
      </c>
      <c r="B69" s="76" t="s">
        <v>209</v>
      </c>
      <c r="C69" s="121" t="str">
        <f t="shared" ref="C69:C70" si="1">HYPERLINK("https://auth0.com/docs/support/testing","Testing Your Auth0 Implementation")</f>
        <v>Testing Your Auth0 Implementation</v>
      </c>
      <c r="D69" s="86" t="b">
        <v>0</v>
      </c>
      <c r="E69" s="113"/>
    </row>
    <row r="70" spans="1:5" ht="60" x14ac:dyDescent="0.15">
      <c r="A70" s="77" t="s">
        <v>88</v>
      </c>
      <c r="B70" s="76" t="s">
        <v>210</v>
      </c>
      <c r="C70" s="121" t="str">
        <f t="shared" si="1"/>
        <v>Testing Your Auth0 Implementation</v>
      </c>
      <c r="D70" s="86" t="b">
        <v>0</v>
      </c>
      <c r="E70" s="113"/>
    </row>
    <row r="71" spans="1:5" x14ac:dyDescent="0.15">
      <c r="A71" s="46" t="s">
        <v>160</v>
      </c>
      <c r="B71" s="47"/>
      <c r="C71" s="118"/>
      <c r="D71" s="48"/>
      <c r="E71" s="107"/>
    </row>
    <row r="72" spans="1:5" ht="12" x14ac:dyDescent="0.15">
      <c r="A72" s="68" t="s">
        <v>0</v>
      </c>
      <c r="B72" s="70" t="s">
        <v>1</v>
      </c>
      <c r="C72" s="111" t="s">
        <v>2</v>
      </c>
      <c r="D72" s="70" t="s">
        <v>156</v>
      </c>
      <c r="E72" s="111" t="s">
        <v>4</v>
      </c>
    </row>
    <row r="73" spans="1:5" x14ac:dyDescent="0.15">
      <c r="A73" s="72" t="str">
        <f>HYPERLINK("https://auth0.com/docs/architecture-scenarios","Architecture")</f>
        <v>Architecture</v>
      </c>
      <c r="B73" s="73"/>
      <c r="C73" s="73"/>
      <c r="D73" s="73"/>
      <c r="E73" s="74"/>
    </row>
    <row r="74" spans="1:5" ht="24" x14ac:dyDescent="0.15">
      <c r="A74" s="93" t="s">
        <v>90</v>
      </c>
      <c r="B74" s="76" t="s">
        <v>211</v>
      </c>
      <c r="C74" s="121" t="str">
        <f t="shared" ref="C74:C75" si="2">HYPERLINK("https://auth0.com/docs/dashboard/manage-dashboard-admins","Manage Tenant Administrators in the Dashboard")</f>
        <v>Manage Tenant Administrators in the Dashboard</v>
      </c>
      <c r="D74" s="86" t="b">
        <v>1</v>
      </c>
      <c r="E74" s="113"/>
    </row>
    <row r="75" spans="1:5" ht="48" x14ac:dyDescent="0.15">
      <c r="A75" s="93" t="s">
        <v>92</v>
      </c>
      <c r="B75" s="87" t="s">
        <v>212</v>
      </c>
      <c r="C75" s="121" t="str">
        <f t="shared" si="2"/>
        <v>Manage Tenant Administrators in the Dashboard</v>
      </c>
      <c r="D75" s="86" t="b">
        <v>1</v>
      </c>
      <c r="E75" s="113"/>
    </row>
    <row r="76" spans="1:5" ht="36" x14ac:dyDescent="0.15">
      <c r="A76" s="93" t="s">
        <v>94</v>
      </c>
      <c r="B76" s="87" t="s">
        <v>213</v>
      </c>
      <c r="C76" s="122" t="str">
        <f>HYPERLINK("https://auth0.com/docs/dashboard/manage-dashboard-admins#enrolling-in-multi-factor-authentication","Enrolling in Multi-factor Authentication")</f>
        <v>Enrolling in Multi-factor Authentication</v>
      </c>
      <c r="D76" s="86" t="b">
        <v>1</v>
      </c>
      <c r="E76" s="113"/>
    </row>
    <row r="77" spans="1:5" ht="48" x14ac:dyDescent="0.15">
      <c r="A77" s="93" t="s">
        <v>96</v>
      </c>
      <c r="B77" s="78" t="s">
        <v>214</v>
      </c>
      <c r="C77" s="122" t="str">
        <f t="shared" ref="C77:C78" si="3">HYPERLINK("https://auth0.com/docs/dashboard/dashboard-tenant-settings#settings","Tenant Settings in the Dashboard")</f>
        <v>Tenant Settings in the Dashboard</v>
      </c>
      <c r="D77" s="86" t="b">
        <v>1</v>
      </c>
      <c r="E77" s="113"/>
    </row>
    <row r="78" spans="1:5" ht="48" x14ac:dyDescent="0.15">
      <c r="A78" s="93" t="s">
        <v>98</v>
      </c>
      <c r="B78" s="78" t="s">
        <v>215</v>
      </c>
      <c r="C78" s="122" t="str">
        <f t="shared" si="3"/>
        <v>Tenant Settings in the Dashboard</v>
      </c>
      <c r="D78" s="86" t="b">
        <v>1</v>
      </c>
      <c r="E78" s="113"/>
    </row>
    <row r="79" spans="1:5" ht="24" x14ac:dyDescent="0.15">
      <c r="A79" s="93" t="s">
        <v>100</v>
      </c>
      <c r="B79" s="94" t="s">
        <v>101</v>
      </c>
      <c r="C79" s="122" t="str">
        <f>HYPERLINK("https://auth0.com/docs/sso/current/configure-session-lifetime-limits","Configure Session Lifetime Limits for Single Sign On")</f>
        <v>Configure Session Lifetime Limits for Single Sign On</v>
      </c>
      <c r="D79" s="86" t="b">
        <v>1</v>
      </c>
      <c r="E79" s="113"/>
    </row>
    <row r="80" spans="1:5" ht="36" x14ac:dyDescent="0.15">
      <c r="A80" s="93" t="s">
        <v>102</v>
      </c>
      <c r="B80" s="95" t="s">
        <v>216</v>
      </c>
      <c r="C80" s="122" t="str">
        <f>HYPERLINK("https://auth0.com/docs/logout#redirect-users-after-logout","Redirect Users After Logout")</f>
        <v>Redirect Users After Logout</v>
      </c>
      <c r="D80" s="86" t="b">
        <v>1</v>
      </c>
      <c r="E80" s="113"/>
    </row>
    <row r="81" spans="1:5" ht="24" x14ac:dyDescent="0.15">
      <c r="A81" s="93" t="s">
        <v>104</v>
      </c>
      <c r="B81" s="78" t="s">
        <v>217</v>
      </c>
      <c r="C81" s="122" t="str">
        <f>HYPERLINK("https://auth0.com/docs/dev-lifecycle/setting-up-env#set-the-environment","Set the Environment")</f>
        <v>Set the Environment</v>
      </c>
      <c r="D81" s="86" t="b">
        <v>1</v>
      </c>
      <c r="E81" s="113"/>
    </row>
    <row r="82" spans="1:5" ht="48" x14ac:dyDescent="0.15">
      <c r="A82" s="93" t="s">
        <v>106</v>
      </c>
      <c r="B82" s="81" t="s">
        <v>218</v>
      </c>
      <c r="C82" s="122" t="str">
        <f>HYPERLINK("https://auth0.com/docs/pre-deployment/how-to-run-test","How to Run the Production Checks")</f>
        <v>How to Run the Production Checks</v>
      </c>
      <c r="D82" s="86" t="b">
        <v>1</v>
      </c>
      <c r="E82" s="113"/>
    </row>
    <row r="83" spans="1:5" ht="36" x14ac:dyDescent="0.15">
      <c r="A83" s="93" t="s">
        <v>108</v>
      </c>
      <c r="B83" s="78" t="s">
        <v>219</v>
      </c>
      <c r="C83" s="122" t="str">
        <f>HYPERLINK("https://auth0.com/docs/pre-deployment/tests/best-practice","Production Checks: Best Practices")</f>
        <v>Production Checks: Best Practices</v>
      </c>
      <c r="D83" s="86" t="b">
        <v>1</v>
      </c>
      <c r="E83" s="113"/>
    </row>
    <row r="84" spans="1:5" ht="36" x14ac:dyDescent="0.15">
      <c r="A84" s="93" t="s">
        <v>110</v>
      </c>
      <c r="B84" s="81" t="s">
        <v>220</v>
      </c>
      <c r="C84" s="122" t="str">
        <f>HYPERLINK("https://auth0.com/docs/anomaly-detection/guides/set-anomaly-detection-preferences","Set Anomaly Detection Preferences")</f>
        <v>Set Anomaly Detection Preferences</v>
      </c>
      <c r="D84" s="86" t="b">
        <v>1</v>
      </c>
      <c r="E84" s="113"/>
    </row>
    <row r="85" spans="1:5" ht="24" x14ac:dyDescent="0.15">
      <c r="A85" s="93" t="s">
        <v>112</v>
      </c>
      <c r="B85" s="81" t="s">
        <v>221</v>
      </c>
      <c r="C85" s="122" t="str">
        <f>HYPERLINK("https://auth0.com/docs/extensions","Extensions")</f>
        <v>Extensions</v>
      </c>
      <c r="D85" s="86" t="b">
        <v>1</v>
      </c>
      <c r="E85" s="110" t="s">
        <v>242</v>
      </c>
    </row>
    <row r="86" spans="1:5" x14ac:dyDescent="0.15">
      <c r="A86" s="72" t="str">
        <f>HYPERLINK("https://auth0.com/docs/users","User Provisioning")</f>
        <v>User Provisioning</v>
      </c>
      <c r="B86" s="73"/>
      <c r="C86" s="73"/>
      <c r="D86" s="73"/>
      <c r="E86" s="74"/>
    </row>
    <row r="87" spans="1:5" ht="60" x14ac:dyDescent="0.15">
      <c r="A87" s="77" t="s">
        <v>114</v>
      </c>
      <c r="B87" s="81" t="s">
        <v>222</v>
      </c>
      <c r="C87" s="121" t="str">
        <f>HYPERLINK("https://auth0.com/docs/best-practices/connection-settings#disable-user-signup-if-it-s-not-appropriate-for-each-database-connection","Disable user signup if it's not appropriate for each database connection")</f>
        <v>Disable user signup if it's not appropriate for each database connection</v>
      </c>
      <c r="D87" s="86" t="b">
        <v>0</v>
      </c>
      <c r="E87" s="113" t="s">
        <v>158</v>
      </c>
    </row>
    <row r="88" spans="1:5" ht="48" x14ac:dyDescent="0.15">
      <c r="A88" s="77" t="s">
        <v>116</v>
      </c>
      <c r="B88" s="81" t="s">
        <v>223</v>
      </c>
      <c r="C88" s="122" t="str">
        <f>HYPERLINK("https://auth0.com/docs/best-practices/connection-settings#set-password-policy-for-database-connections","Set password policy for database connections")</f>
        <v>Set password policy for database connections</v>
      </c>
      <c r="D88" s="86" t="b">
        <v>0</v>
      </c>
      <c r="E88" s="113" t="s">
        <v>158</v>
      </c>
    </row>
    <row r="89" spans="1:5" x14ac:dyDescent="0.15">
      <c r="A89" s="72" t="str">
        <f>HYPERLINK("https://auth0.com/docs/application-auth/current","User Authentication")</f>
        <v>User Authentication</v>
      </c>
      <c r="B89" s="73"/>
      <c r="C89" s="73"/>
      <c r="D89" s="73"/>
      <c r="E89" s="74"/>
    </row>
    <row r="90" spans="1:5" ht="24" x14ac:dyDescent="0.15">
      <c r="A90" s="80" t="s">
        <v>118</v>
      </c>
      <c r="B90" s="81" t="s">
        <v>224</v>
      </c>
      <c r="C90" s="121" t="str">
        <f>HYPERLINK("https://auth0.com/docs/users/guides/redirect-users-after-login","Redirect Users After Login")</f>
        <v>Redirect Users After Login</v>
      </c>
      <c r="D90" s="86" t="b">
        <v>1</v>
      </c>
      <c r="E90" s="113"/>
    </row>
    <row r="91" spans="1:5" ht="48" x14ac:dyDescent="0.15">
      <c r="A91" s="80" t="s">
        <v>120</v>
      </c>
      <c r="B91" s="81" t="s">
        <v>225</v>
      </c>
      <c r="C91" s="121" t="str">
        <f>HYPERLINK("https://auth0.com/docs/applications/reference/grant-types-available","Available Grant Types")</f>
        <v>Available Grant Types</v>
      </c>
      <c r="D91" s="86" t="b">
        <v>1</v>
      </c>
      <c r="E91" s="113"/>
    </row>
    <row r="92" spans="1:5" ht="60" x14ac:dyDescent="0.15">
      <c r="A92" s="80" t="s">
        <v>122</v>
      </c>
      <c r="B92" s="81" t="s">
        <v>226</v>
      </c>
      <c r="C92" s="121" t="str">
        <f>HYPERLINK("https://auth0.com/docs/connections/social/devkeys","Test Social Connections with Auth0 Developer Keys")</f>
        <v>Test Social Connections with Auth0 Developer Keys</v>
      </c>
      <c r="D92" s="86" t="b">
        <v>1</v>
      </c>
      <c r="E92" s="113"/>
    </row>
    <row r="93" spans="1:5" ht="48" x14ac:dyDescent="0.15">
      <c r="A93" s="80" t="s">
        <v>124</v>
      </c>
      <c r="B93" s="81" t="s">
        <v>227</v>
      </c>
      <c r="C93" s="121" t="str">
        <f>HYPERLINK("https://auth0.com/docs/best-practices/connection-settings#review-requested-data","Review requested data")</f>
        <v>Review requested data</v>
      </c>
      <c r="D93" s="86" t="b">
        <v>1</v>
      </c>
      <c r="E93" s="113"/>
    </row>
    <row r="94" spans="1:5" ht="48" x14ac:dyDescent="0.15">
      <c r="A94" s="80" t="s">
        <v>126</v>
      </c>
      <c r="B94" s="81" t="s">
        <v>228</v>
      </c>
      <c r="C94" s="121" t="str">
        <f>HYPERLINK("https://auth0.com/docs/best-practices/connection-settings#use-rsa-sha256-for-saml-connections","Use RSA-SHA256 for SAML connections")</f>
        <v>Use RSA-SHA256 for SAML connections</v>
      </c>
      <c r="D94" s="86" t="b">
        <v>1</v>
      </c>
      <c r="E94" s="113"/>
    </row>
    <row r="95" spans="1:5" x14ac:dyDescent="0.15">
      <c r="A95" s="72" t="str">
        <f>HYPERLINK("https://auth0.com/docs/users/concepts/overview-user-profile","User Profile Management")</f>
        <v>User Profile Management</v>
      </c>
      <c r="B95" s="73"/>
      <c r="C95" s="73"/>
      <c r="D95" s="73"/>
      <c r="E95" s="74"/>
    </row>
    <row r="96" spans="1:5" ht="48" x14ac:dyDescent="0.15">
      <c r="A96" s="77" t="s">
        <v>128</v>
      </c>
      <c r="B96" s="87" t="s">
        <v>229</v>
      </c>
      <c r="C96" s="121" t="str">
        <f>HYPERLINK("https://auth0.com/docs/best-practices/connection-settings#set-password-policy-for-database-connections","Set password policy for database connections")</f>
        <v>Set password policy for database connections</v>
      </c>
      <c r="D96" s="86" t="b">
        <v>1</v>
      </c>
      <c r="E96" s="113"/>
    </row>
    <row r="97" spans="1:5" x14ac:dyDescent="0.15">
      <c r="A97" s="72" t="str">
        <f>HYPERLINK("https://auth0.com/docs/logout","User Logout")</f>
        <v>User Logout</v>
      </c>
      <c r="B97" s="73"/>
      <c r="C97" s="73"/>
      <c r="D97" s="73"/>
      <c r="E97" s="74"/>
    </row>
    <row r="98" spans="1:5" ht="36" x14ac:dyDescent="0.15">
      <c r="A98" s="77" t="s">
        <v>130</v>
      </c>
      <c r="B98" s="87" t="s">
        <v>230</v>
      </c>
      <c r="C98" s="121" t="str">
        <f>HYPERLINK("https://auth0.com/docs/logout#redirect-users-after-logout","Redirect users after logout")</f>
        <v>Redirect users after logout</v>
      </c>
      <c r="D98" s="86" t="b">
        <v>1</v>
      </c>
      <c r="E98" s="113"/>
    </row>
    <row r="99" spans="1:5" x14ac:dyDescent="0.15">
      <c r="A99" s="96" t="s">
        <v>132</v>
      </c>
      <c r="B99" s="73"/>
      <c r="C99" s="73"/>
      <c r="D99" s="73"/>
      <c r="E99" s="74"/>
    </row>
    <row r="100" spans="1:5" ht="60" x14ac:dyDescent="0.15">
      <c r="A100" s="77" t="s">
        <v>133</v>
      </c>
      <c r="B100" s="87" t="s">
        <v>231</v>
      </c>
      <c r="C100" s="121" t="str">
        <f>HYPERLINK("https://community.auth0.com/t/how-to-unit-test-rules-as-part-of-ci-cd-pipeline/22424","How to unit test rules as part of CI/CD pipeline")</f>
        <v>How to unit test rules as part of CI/CD pipeline</v>
      </c>
      <c r="D100" s="88" t="s">
        <v>162</v>
      </c>
      <c r="E100" s="113"/>
    </row>
    <row r="101" spans="1:5" ht="60" customHeight="1" x14ac:dyDescent="0.15">
      <c r="A101" s="77" t="s">
        <v>135</v>
      </c>
      <c r="B101" s="87" t="s">
        <v>232</v>
      </c>
      <c r="C101" s="121" t="str">
        <f>HYPERLINK("https://auth0.com/docs/hooks","Hooks")</f>
        <v>Hooks</v>
      </c>
      <c r="D101" s="86" t="b">
        <v>1</v>
      </c>
      <c r="E101" s="113"/>
    </row>
    <row r="102" spans="1:5" ht="84" x14ac:dyDescent="0.15">
      <c r="A102" s="77" t="s">
        <v>137</v>
      </c>
      <c r="B102" s="87" t="s">
        <v>233</v>
      </c>
      <c r="C102" s="121" t="str">
        <f>HYPERLINK("https://auth0.com/docs/connections/database/custom-db/error-handling","Custom Database Error Handling and Troubleshooting")</f>
        <v>Custom Database Error Handling and Troubleshooting</v>
      </c>
      <c r="D102" s="86" t="b">
        <v>0</v>
      </c>
      <c r="E102" s="113" t="s">
        <v>158</v>
      </c>
    </row>
    <row r="103" spans="1:5" x14ac:dyDescent="0.15">
      <c r="A103" s="46" t="s">
        <v>161</v>
      </c>
      <c r="B103" s="47"/>
      <c r="C103" s="118"/>
      <c r="D103" s="48"/>
      <c r="E103" s="107"/>
    </row>
    <row r="104" spans="1:5" ht="12" x14ac:dyDescent="0.15">
      <c r="A104" s="97" t="s">
        <v>0</v>
      </c>
      <c r="B104" s="97" t="s">
        <v>1</v>
      </c>
      <c r="C104" s="115" t="s">
        <v>2</v>
      </c>
      <c r="D104" s="97" t="s">
        <v>156</v>
      </c>
      <c r="E104" s="115" t="s">
        <v>4</v>
      </c>
    </row>
    <row r="105" spans="1:5" x14ac:dyDescent="0.15">
      <c r="A105" s="98" t="s">
        <v>139</v>
      </c>
      <c r="B105" s="99"/>
      <c r="C105" s="100"/>
      <c r="D105" s="100"/>
      <c r="E105" s="101"/>
    </row>
    <row r="106" spans="1:5" ht="72" x14ac:dyDescent="0.15">
      <c r="A106" s="102" t="s">
        <v>140</v>
      </c>
      <c r="B106" s="103" t="s">
        <v>234</v>
      </c>
      <c r="C106" s="123" t="str">
        <f>HYPERLINK("https://auth0.com/docs/dashboard/dashboard-tenant-settings","Tenant Settings in the Auth0 Dashboard")</f>
        <v>Tenant Settings in the Auth0 Dashboard</v>
      </c>
      <c r="D106" s="86" t="b">
        <v>1</v>
      </c>
      <c r="E106" s="116"/>
    </row>
    <row r="107" spans="1:5" ht="60" x14ac:dyDescent="0.15">
      <c r="A107" s="102" t="s">
        <v>142</v>
      </c>
      <c r="B107" s="103" t="s">
        <v>235</v>
      </c>
      <c r="C107" s="123" t="str">
        <f>HYPERLINK("https://auth0.com/docs/security/bulletins","Auth0 Security Bulletins")</f>
        <v>Auth0 Security Bulletins</v>
      </c>
      <c r="D107" s="86" t="b">
        <v>1</v>
      </c>
      <c r="E107" s="116"/>
    </row>
    <row r="108" spans="1:5" ht="36" x14ac:dyDescent="0.15">
      <c r="A108" s="102" t="s">
        <v>144</v>
      </c>
      <c r="B108" s="104" t="s">
        <v>236</v>
      </c>
      <c r="C108" s="123" t="str">
        <f>HYPERLINK("https://status.auth0.com","Auth0 Status")</f>
        <v>Auth0 Status</v>
      </c>
      <c r="D108" s="86" t="b">
        <v>1</v>
      </c>
      <c r="E108" s="116" t="s">
        <v>250</v>
      </c>
    </row>
    <row r="109" spans="1:5" ht="36" x14ac:dyDescent="0.15">
      <c r="A109" s="102" t="s">
        <v>146</v>
      </c>
      <c r="B109" s="104" t="s">
        <v>237</v>
      </c>
      <c r="C109" s="123" t="str">
        <f>HYPERLINK("https://uptime.auth0.com","Auth0 Uptime")</f>
        <v>Auth0 Uptime</v>
      </c>
      <c r="D109" s="86" t="b">
        <v>1</v>
      </c>
      <c r="E109" s="116" t="s">
        <v>250</v>
      </c>
    </row>
    <row r="110" spans="1:5" ht="48" x14ac:dyDescent="0.15">
      <c r="A110" s="102" t="s">
        <v>148</v>
      </c>
      <c r="B110" s="104" t="s">
        <v>238</v>
      </c>
      <c r="C110" s="123" t="str">
        <f>HYPERLINK("https://auth0.com/docs/logs#what-can-i-use-logs-for-","What can I use logs for?")</f>
        <v>What can I use logs for?</v>
      </c>
      <c r="D110" s="86" t="b">
        <v>1</v>
      </c>
      <c r="E110" s="116" t="s">
        <v>250</v>
      </c>
    </row>
    <row r="111" spans="1:5" ht="36" x14ac:dyDescent="0.15">
      <c r="A111" s="102" t="s">
        <v>150</v>
      </c>
      <c r="B111" s="104" t="s">
        <v>239</v>
      </c>
      <c r="C111" s="123" t="str">
        <f>HYPERLINK("https://auth0.com/docs/extensions#export-auth0-logs-to-an-external-service","Export Auth0 logs to an external service")</f>
        <v>Export Auth0 logs to an external service</v>
      </c>
      <c r="D111" s="86" t="b">
        <v>1</v>
      </c>
      <c r="E111" s="116" t="s">
        <v>250</v>
      </c>
    </row>
    <row r="112" spans="1:5" ht="48" x14ac:dyDescent="0.15">
      <c r="A112" s="102" t="s">
        <v>152</v>
      </c>
      <c r="B112" s="105" t="s">
        <v>240</v>
      </c>
      <c r="C112" s="123" t="str">
        <f>HYPERLINK("https://auth0.com/docs/monitoring/guides/check-external-services","Check External Services Status")</f>
        <v>Check External Services Status</v>
      </c>
      <c r="D112" s="86" t="b">
        <v>1</v>
      </c>
      <c r="E112" s="116"/>
    </row>
  </sheetData>
  <mergeCells count="22">
    <mergeCell ref="A99:E99"/>
    <mergeCell ref="A105:E105"/>
    <mergeCell ref="A73:E73"/>
    <mergeCell ref="A86:E86"/>
    <mergeCell ref="A89:E89"/>
    <mergeCell ref="A95:E95"/>
    <mergeCell ref="A97:E97"/>
    <mergeCell ref="A48:E48"/>
    <mergeCell ref="A55:E55"/>
    <mergeCell ref="A61:E61"/>
    <mergeCell ref="A63:E63"/>
    <mergeCell ref="A67:A68"/>
    <mergeCell ref="B67:B68"/>
    <mergeCell ref="A27:E27"/>
    <mergeCell ref="A30:A31"/>
    <mergeCell ref="B30:B31"/>
    <mergeCell ref="A39:E39"/>
    <mergeCell ref="A45:E45"/>
    <mergeCell ref="A11:E11"/>
    <mergeCell ref="A17:E17"/>
    <mergeCell ref="A21:E21"/>
    <mergeCell ref="A23:E23"/>
  </mergeCells>
  <hyperlinks>
    <hyperlink ref="C106" r:id="rId1" display="Tenant Settings in the Auth0 Dashboard" xr:uid="{5666036D-F4DF-D34B-B124-1C14FDA04976}"/>
    <hyperlink ref="C107" r:id="rId2" display="Auth0 Security Bulletins" xr:uid="{396952B7-CB2B-8940-8CAE-AFC5BCF54A04}"/>
    <hyperlink ref="C108" r:id="rId3" display="Auth0 Status" xr:uid="{089C61AD-0A2B-9D48-8155-065D794A2978}"/>
    <hyperlink ref="C109" r:id="rId4" display="Auth0 Uptime" xr:uid="{0FD247BC-FD4B-B746-83AD-CCBE070CB8AC}"/>
    <hyperlink ref="C110" r:id="rId5" location="what-can-i-use-logs-for-" display="What can I use logs for?" xr:uid="{38B249A3-99E0-E247-A10D-A60F7DDCC5B1}"/>
    <hyperlink ref="C111" r:id="rId6" location="export-auth0-logs-to-an-external-service" display="Export Auth0 logs to an external service" xr:uid="{0AE1228E-A661-834D-9244-07160B569667}"/>
    <hyperlink ref="C112" r:id="rId7" display="Check External Services Status" xr:uid="{D0CAF0CD-D53D-044E-A437-F5EE1AD76B23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229AA-67BA-EE46-B382-2CCA5213D909}">
  <sheetPr>
    <outlinePr summaryBelow="0" summaryRight="0"/>
  </sheetPr>
  <dimension ref="A1:E22"/>
  <sheetViews>
    <sheetView workbookViewId="0">
      <selection activeCell="B13" sqref="A1:E17"/>
    </sheetView>
  </sheetViews>
  <sheetFormatPr baseColWidth="10" defaultColWidth="14.5" defaultRowHeight="15.75" customHeight="1" x14ac:dyDescent="0.15"/>
  <cols>
    <col min="1" max="1" width="14.5" style="3"/>
    <col min="2" max="2" width="49.1640625" style="3" customWidth="1"/>
    <col min="3" max="4" width="21" style="3" customWidth="1"/>
    <col min="5" max="5" width="46.83203125" style="3" customWidth="1"/>
    <col min="6" max="16384" width="14.5" style="3"/>
  </cols>
  <sheetData>
    <row r="1" spans="1:5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" x14ac:dyDescent="0.15">
      <c r="A2" s="33" t="str">
        <f>HYPERLINK("https://auth0.com/docs/architecture-scenarios","Architecture")</f>
        <v>Architecture</v>
      </c>
      <c r="B2" s="34"/>
      <c r="C2" s="34"/>
      <c r="D2" s="34"/>
      <c r="E2" s="35"/>
    </row>
    <row r="3" spans="1:5" ht="42" x14ac:dyDescent="0.15">
      <c r="A3" s="4" t="s">
        <v>21</v>
      </c>
      <c r="B3" s="5" t="s">
        <v>10</v>
      </c>
      <c r="C3" s="6" t="str">
        <f>HYPERLINK("https://auth0.com/docs/custom-domains","Custom Domains")</f>
        <v>Custom Domains</v>
      </c>
      <c r="D3" s="7"/>
      <c r="E3" s="7"/>
    </row>
    <row r="4" spans="1:5" ht="13" x14ac:dyDescent="0.15">
      <c r="A4" s="33" t="str">
        <f>HYPERLINK("https://auth0.com/docs/users","User Provisioning")</f>
        <v>User Provisioning</v>
      </c>
      <c r="B4" s="34"/>
      <c r="C4" s="34"/>
      <c r="D4" s="34"/>
      <c r="E4" s="35"/>
    </row>
    <row r="5" spans="1:5" ht="56" x14ac:dyDescent="0.15">
      <c r="A5" s="8" t="s">
        <v>22</v>
      </c>
      <c r="B5" s="9" t="s">
        <v>23</v>
      </c>
      <c r="C5" s="6" t="str">
        <f>HYPERLINK("https://auth0.com/docs/connections/database","Database Identity Providers")</f>
        <v>Database Identity Providers</v>
      </c>
      <c r="D5" s="10"/>
      <c r="E5" s="10"/>
    </row>
    <row r="6" spans="1:5" ht="56" x14ac:dyDescent="0.15">
      <c r="A6" s="8" t="s">
        <v>24</v>
      </c>
      <c r="B6" s="9" t="s">
        <v>25</v>
      </c>
      <c r="C6" s="6" t="str">
        <f>HYPERLINK("https://auth0.com/docs/users/concepts/overview-user-migration","User Migration")</f>
        <v>User Migration</v>
      </c>
      <c r="D6" s="10"/>
      <c r="E6" s="10"/>
    </row>
    <row r="7" spans="1:5" ht="42" x14ac:dyDescent="0.15">
      <c r="A7" s="8" t="s">
        <v>26</v>
      </c>
      <c r="B7" s="9" t="s">
        <v>17</v>
      </c>
      <c r="C7" s="6" t="str">
        <f>HYPERLINK("https://auth0.com/docs/connections/database/custom-db","Authenticate Users Using Your Database")</f>
        <v>Authenticate Users Using Your Database</v>
      </c>
      <c r="D7" s="10"/>
      <c r="E7" s="10"/>
    </row>
    <row r="8" spans="1:5" ht="13" x14ac:dyDescent="0.15">
      <c r="A8" s="33" t="str">
        <f>HYPERLINK("https://auth0.com/docs/application-auth/current","User Authentication")</f>
        <v>User Authentication</v>
      </c>
      <c r="B8" s="34"/>
      <c r="C8" s="34"/>
      <c r="D8" s="34"/>
      <c r="E8" s="35"/>
    </row>
    <row r="9" spans="1:5" ht="56" x14ac:dyDescent="0.15">
      <c r="A9" s="11" t="s">
        <v>27</v>
      </c>
      <c r="B9" s="12" t="s">
        <v>28</v>
      </c>
      <c r="C9" s="6" t="str">
        <f>HYPERLINK("https://auth0.com/docs/quickstarts","Quickstarts")</f>
        <v>Quickstarts</v>
      </c>
      <c r="D9" s="10"/>
      <c r="E9" s="10"/>
    </row>
    <row r="10" spans="1:5" ht="42" x14ac:dyDescent="0.15">
      <c r="A10" s="11" t="s">
        <v>29</v>
      </c>
      <c r="B10" s="12" t="s">
        <v>30</v>
      </c>
      <c r="C10" s="6" t="str">
        <f>HYPERLINK("https://auth0.com/docs/universal-login","Universal Login")</f>
        <v>Universal Login</v>
      </c>
      <c r="D10" s="10"/>
      <c r="E10" s="10"/>
    </row>
    <row r="11" spans="1:5" ht="28" x14ac:dyDescent="0.15">
      <c r="A11" s="36" t="s">
        <v>31</v>
      </c>
      <c r="B11" s="38" t="s">
        <v>32</v>
      </c>
      <c r="C11" s="6" t="str">
        <f>HYPERLINK("https://auth0.com/docs/universal-login#simple-customization","Simple Login Customization")</f>
        <v>Simple Login Customization</v>
      </c>
      <c r="D11" s="10"/>
      <c r="E11" s="10"/>
    </row>
    <row r="12" spans="1:5" ht="25.5" customHeight="1" x14ac:dyDescent="0.15">
      <c r="A12" s="37"/>
      <c r="B12" s="37"/>
      <c r="C12" s="6" t="str">
        <f>HYPERLINK("https://auth0.com/docs/universal-login#advanced-customization","Advanced Login Customization")</f>
        <v>Advanced Login Customization</v>
      </c>
      <c r="D12" s="10"/>
      <c r="E12" s="10"/>
    </row>
    <row r="13" spans="1:5" ht="56" x14ac:dyDescent="0.15">
      <c r="A13" s="11" t="s">
        <v>33</v>
      </c>
      <c r="B13" s="12" t="s">
        <v>34</v>
      </c>
      <c r="C13" s="6" t="str">
        <f>HYPERLINK("https://auth0.com/docs/universal-login/password-reset#edit-the-password-reset-page","Edit Password Reset Page")</f>
        <v>Edit Password Reset Page</v>
      </c>
      <c r="D13" s="10"/>
      <c r="E13" s="10"/>
    </row>
    <row r="14" spans="1:5" ht="42" x14ac:dyDescent="0.15">
      <c r="A14" s="11" t="s">
        <v>35</v>
      </c>
      <c r="B14" s="12" t="s">
        <v>36</v>
      </c>
      <c r="C14" s="6" t="str">
        <f>HYPERLINK("https://auth0.com/docs/universal-login/guardian","Guardian Multi-factor Login Page")</f>
        <v>Guardian Multi-factor Login Page</v>
      </c>
      <c r="D14" s="10"/>
      <c r="E14" s="10"/>
    </row>
    <row r="15" spans="1:5" ht="56" x14ac:dyDescent="0.15">
      <c r="A15" s="11" t="s">
        <v>37</v>
      </c>
      <c r="B15" s="12" t="s">
        <v>38</v>
      </c>
      <c r="C15" s="6" t="str">
        <f>HYPERLINK("https://auth0.com/docs/connections/social/devkeys","Test Social Connections with Auth0 Developer Keys")</f>
        <v>Test Social Connections with Auth0 Developer Keys</v>
      </c>
      <c r="D15" s="10"/>
      <c r="E15" s="10"/>
    </row>
    <row r="16" spans="1:5" ht="56" x14ac:dyDescent="0.15">
      <c r="A16" s="11" t="s">
        <v>39</v>
      </c>
      <c r="B16" s="12" t="s">
        <v>40</v>
      </c>
      <c r="C16" s="6" t="str">
        <f>HYPERLINK("https://auth0.com/docs/extensions/custom-social-extensions","Custom Social Connections")</f>
        <v>Custom Social Connections</v>
      </c>
      <c r="D16" s="10"/>
      <c r="E16" s="10"/>
    </row>
    <row r="17" spans="1:5" ht="56" x14ac:dyDescent="0.15">
      <c r="A17" s="11" t="s">
        <v>41</v>
      </c>
      <c r="B17" s="12" t="s">
        <v>42</v>
      </c>
      <c r="C17" s="6" t="str">
        <f>HYPERLINK("https://auth0.com/docs/protocols/saml/saml-configuration/design-considerations#considerations-for-using-auth0-as-service-provider","SAML Considerations for Using Auth0 as Service Provider")</f>
        <v>SAML Considerations for Using Auth0 as Service Provider</v>
      </c>
      <c r="D17" s="10"/>
      <c r="E17" s="10"/>
    </row>
    <row r="18" spans="1:5" ht="13" x14ac:dyDescent="0.15">
      <c r="A18" s="13"/>
      <c r="B18" s="14"/>
      <c r="C18" s="14"/>
    </row>
    <row r="19" spans="1:5" ht="13" x14ac:dyDescent="0.15">
      <c r="A19" s="13"/>
      <c r="B19" s="14"/>
      <c r="C19" s="14"/>
    </row>
    <row r="20" spans="1:5" ht="13" x14ac:dyDescent="0.15">
      <c r="A20" s="13"/>
      <c r="B20" s="14"/>
      <c r="C20" s="14"/>
    </row>
    <row r="21" spans="1:5" ht="13" x14ac:dyDescent="0.15">
      <c r="A21" s="13"/>
      <c r="B21" s="14"/>
      <c r="C21" s="14"/>
    </row>
    <row r="22" spans="1:5" ht="13" x14ac:dyDescent="0.15">
      <c r="A22" s="13"/>
      <c r="B22" s="14"/>
      <c r="C22" s="14"/>
    </row>
  </sheetData>
  <mergeCells count="5">
    <mergeCell ref="A2:E2"/>
    <mergeCell ref="A4:E4"/>
    <mergeCell ref="A8:E8"/>
    <mergeCell ref="A11:A12"/>
    <mergeCell ref="B11:B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E713A-DD49-5C40-8ABE-5610B51E5B7C}">
  <sheetPr>
    <outlinePr summaryBelow="0" summaryRight="0"/>
  </sheetPr>
  <dimension ref="A1:E20"/>
  <sheetViews>
    <sheetView workbookViewId="0">
      <selection activeCell="B12" sqref="A1:E15"/>
    </sheetView>
  </sheetViews>
  <sheetFormatPr baseColWidth="10" defaultColWidth="14.5" defaultRowHeight="15.75" customHeight="1" x14ac:dyDescent="0.15"/>
  <cols>
    <col min="1" max="1" width="14.5" style="3"/>
    <col min="2" max="2" width="49.1640625" style="3" customWidth="1"/>
    <col min="3" max="4" width="21" style="3" customWidth="1"/>
    <col min="5" max="5" width="46.83203125" style="3" customWidth="1"/>
    <col min="6" max="16384" width="14.5" style="3"/>
  </cols>
  <sheetData>
    <row r="1" spans="1:5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customHeight="1" x14ac:dyDescent="0.15">
      <c r="A2" s="33" t="str">
        <f>HYPERLINK("https://auth0.com/docs/architecture-scenarios","Architecture")</f>
        <v>Architecture</v>
      </c>
      <c r="B2" s="34"/>
      <c r="C2" s="34"/>
      <c r="D2" s="34"/>
      <c r="E2" s="35"/>
    </row>
    <row r="3" spans="1:5" ht="62" customHeight="1" x14ac:dyDescent="0.15">
      <c r="A3" s="8" t="s">
        <v>43</v>
      </c>
      <c r="B3" s="5" t="s">
        <v>44</v>
      </c>
      <c r="C3" s="6" t="str">
        <f>HYPERLINK("https://auth0.com/docs/best-practices/rules#security-recommendations","Rules Security Recommendations")</f>
        <v>Rules Security Recommendations</v>
      </c>
      <c r="D3" s="10"/>
      <c r="E3" s="10"/>
    </row>
    <row r="4" spans="1:5" ht="52" customHeight="1" x14ac:dyDescent="0.15">
      <c r="A4" s="8" t="s">
        <v>45</v>
      </c>
      <c r="B4" s="15" t="s">
        <v>46</v>
      </c>
      <c r="C4" s="16" t="str">
        <f>HYPERLINK("https://auth0.com/docs/hooks","Hooks")</f>
        <v>Hooks</v>
      </c>
      <c r="D4" s="10"/>
      <c r="E4" s="10"/>
    </row>
    <row r="5" spans="1:5" ht="69" customHeight="1" x14ac:dyDescent="0.15">
      <c r="A5" s="8" t="s">
        <v>47</v>
      </c>
      <c r="B5" s="15" t="s">
        <v>48</v>
      </c>
      <c r="C5" s="16" t="str">
        <f>HYPERLINK("https://auth0.com/docs/connections/database/custom-db/create-db-connection#step-3-add-configuration-parameters","Add Custom Database Configuration Parameters")</f>
        <v>Add Custom Database Configuration Parameters</v>
      </c>
      <c r="D5" s="10"/>
      <c r="E5" s="10"/>
    </row>
    <row r="6" spans="1:5" ht="60" customHeight="1" x14ac:dyDescent="0.15">
      <c r="A6" s="8" t="s">
        <v>49</v>
      </c>
      <c r="B6" s="9" t="s">
        <v>50</v>
      </c>
      <c r="C6" s="16" t="str">
        <f>HYPERLINK("https://auth0.com/docs/extensions/realtime-webtask-logs","Real-time Webtask Logs")</f>
        <v>Real-time Webtask Logs</v>
      </c>
      <c r="D6" s="10"/>
      <c r="E6" s="10"/>
    </row>
    <row r="7" spans="1:5" ht="15.75" customHeight="1" x14ac:dyDescent="0.15">
      <c r="A7" s="8" t="s">
        <v>51</v>
      </c>
      <c r="B7" s="9" t="s">
        <v>52</v>
      </c>
      <c r="C7" s="16" t="str">
        <f>HYPERLINK("https://auth0.com/blog/continuous-deployment-pipelines-and-open-source-node-js-web-apps/","Continuous Deployment Pipelines and Open Source Node.js Web Apps")</f>
        <v>Continuous Deployment Pipelines and Open Source Node.js Web Apps</v>
      </c>
      <c r="D7" s="10"/>
      <c r="E7" s="10"/>
    </row>
    <row r="8" spans="1:5" ht="23" customHeight="1" x14ac:dyDescent="0.15">
      <c r="A8" s="33" t="str">
        <f>HYPERLINK("https://auth0.com/docs/users","User Provisioning")</f>
        <v>User Provisioning</v>
      </c>
      <c r="B8" s="34"/>
      <c r="C8" s="34"/>
      <c r="D8" s="34"/>
      <c r="E8" s="35"/>
    </row>
    <row r="9" spans="1:5" ht="58" customHeight="1" x14ac:dyDescent="0.15">
      <c r="A9" s="8" t="s">
        <v>53</v>
      </c>
      <c r="B9" s="9" t="s">
        <v>54</v>
      </c>
      <c r="C9" s="6" t="str">
        <f>HYPERLINK("https://auth0.com/docs/connections/database/custom-db/create-db-connection#step-2-create-database-action-scripts","Create Database Action Scripts")</f>
        <v>Create Database Action Scripts</v>
      </c>
      <c r="D9" s="10"/>
      <c r="E9" s="10"/>
    </row>
    <row r="10" spans="1:5" ht="82" customHeight="1" x14ac:dyDescent="0.15">
      <c r="A10" s="8" t="s">
        <v>55</v>
      </c>
      <c r="B10" s="9" t="s">
        <v>56</v>
      </c>
      <c r="C10" s="16" t="str">
        <f>HYPERLINK("https://auth0.com/docs/hooks","Hooks")</f>
        <v>Hooks</v>
      </c>
      <c r="D10" s="10"/>
      <c r="E10" s="10"/>
    </row>
    <row r="11" spans="1:5" ht="15.75" customHeight="1" x14ac:dyDescent="0.15">
      <c r="A11" s="33" t="str">
        <f>HYPERLINK("https://auth0.com/docs/application-auth/current","User Authentication")</f>
        <v>User Authentication</v>
      </c>
      <c r="B11" s="34"/>
      <c r="C11" s="34"/>
      <c r="D11" s="34"/>
      <c r="E11" s="35"/>
    </row>
    <row r="12" spans="1:5" ht="57" customHeight="1" x14ac:dyDescent="0.15">
      <c r="A12" s="11" t="s">
        <v>57</v>
      </c>
      <c r="B12" s="12" t="s">
        <v>28</v>
      </c>
      <c r="C12" s="6" t="str">
        <f>HYPERLINK("https://auth0.com/docs/quickstarts","Quickstarts")</f>
        <v>Quickstarts</v>
      </c>
      <c r="D12" s="10"/>
      <c r="E12" s="10"/>
    </row>
    <row r="13" spans="1:5" ht="67" customHeight="1" x14ac:dyDescent="0.15">
      <c r="A13" s="11" t="s">
        <v>58</v>
      </c>
      <c r="B13" s="12" t="s">
        <v>59</v>
      </c>
      <c r="C13" s="6" t="str">
        <f>HYPERLINK("https://auth0.com/docs/applications","Applications")</f>
        <v>Applications</v>
      </c>
      <c r="D13" s="10"/>
      <c r="E13" s="10"/>
    </row>
    <row r="14" spans="1:5" ht="62" customHeight="1" x14ac:dyDescent="0.15">
      <c r="A14" s="11" t="s">
        <v>60</v>
      </c>
      <c r="B14" s="12" t="s">
        <v>61</v>
      </c>
      <c r="C14" s="6" t="str">
        <f>HYPERLINK("https://auth0.com/docs/libraries","Libraries")</f>
        <v>Libraries</v>
      </c>
      <c r="D14" s="10"/>
      <c r="E14" s="10"/>
    </row>
    <row r="15" spans="1:5" ht="69" customHeight="1" x14ac:dyDescent="0.15">
      <c r="A15" s="11" t="s">
        <v>62</v>
      </c>
      <c r="B15" s="12" t="s">
        <v>63</v>
      </c>
      <c r="C15" s="6" t="str">
        <f>HYPERLINK("https://auth0.com/docs/policies/rate-limits#authentication-api","Rate Limit Policy for Auth0 APIs")</f>
        <v>Rate Limit Policy for Auth0 APIs</v>
      </c>
      <c r="D15" s="10"/>
      <c r="E15" s="10"/>
    </row>
    <row r="16" spans="1:5" ht="15.75" customHeight="1" x14ac:dyDescent="0.15">
      <c r="A16" s="13"/>
      <c r="B16" s="14"/>
      <c r="C16" s="14"/>
    </row>
    <row r="17" spans="1:3" ht="15.75" customHeight="1" x14ac:dyDescent="0.15">
      <c r="A17" s="13"/>
      <c r="B17" s="14"/>
      <c r="C17" s="14"/>
    </row>
    <row r="18" spans="1:3" ht="15.75" customHeight="1" x14ac:dyDescent="0.15">
      <c r="A18" s="13"/>
      <c r="B18" s="14"/>
      <c r="C18" s="14"/>
    </row>
    <row r="19" spans="1:3" ht="15.75" customHeight="1" x14ac:dyDescent="0.15">
      <c r="A19" s="13"/>
      <c r="B19" s="14"/>
      <c r="C19" s="14"/>
    </row>
    <row r="20" spans="1:3" ht="15.75" customHeight="1" x14ac:dyDescent="0.15">
      <c r="A20" s="13"/>
      <c r="B20" s="14"/>
      <c r="C20" s="14"/>
    </row>
  </sheetData>
  <mergeCells count="3">
    <mergeCell ref="A2:E2"/>
    <mergeCell ref="A8:E8"/>
    <mergeCell ref="A11:E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58DE-2280-3C48-A2BF-5DB6D06C4A7F}">
  <sheetPr>
    <outlinePr summaryBelow="0" summaryRight="0"/>
  </sheetPr>
  <dimension ref="A1:E17"/>
  <sheetViews>
    <sheetView workbookViewId="0">
      <selection activeCell="E17" sqref="A1:E17"/>
    </sheetView>
  </sheetViews>
  <sheetFormatPr baseColWidth="10" defaultColWidth="14.5" defaultRowHeight="15.75" customHeight="1" x14ac:dyDescent="0.15"/>
  <cols>
    <col min="1" max="1" width="14.5" style="3"/>
    <col min="2" max="2" width="49.1640625" style="3" customWidth="1"/>
    <col min="3" max="4" width="21" style="3" customWidth="1"/>
    <col min="5" max="5" width="46.83203125" style="3" customWidth="1"/>
    <col min="6" max="16384" width="14.5" style="3"/>
  </cols>
  <sheetData>
    <row r="1" spans="1:5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" x14ac:dyDescent="0.15">
      <c r="A2" s="33" t="str">
        <f>HYPERLINK("https://auth0.com/docs/architecture-scenarios","Architecture")</f>
        <v>Architecture</v>
      </c>
      <c r="B2" s="34"/>
      <c r="C2" s="34"/>
      <c r="D2" s="34"/>
      <c r="E2" s="35"/>
    </row>
    <row r="3" spans="1:5" ht="42" x14ac:dyDescent="0.15">
      <c r="A3" s="8" t="s">
        <v>64</v>
      </c>
      <c r="B3" s="5" t="s">
        <v>65</v>
      </c>
      <c r="C3" s="6" t="str">
        <f>HYPERLINK("https://auth0.com/docs/sso/current/configure-session-lifetime-limits","Configure Session Lifetime Limits for SSO")</f>
        <v>Configure Session Lifetime Limits for SSO</v>
      </c>
      <c r="D3" s="10"/>
      <c r="E3" s="10"/>
    </row>
    <row r="4" spans="1:5" ht="57" x14ac:dyDescent="0.15">
      <c r="A4" s="8" t="s">
        <v>66</v>
      </c>
      <c r="B4" s="15" t="s">
        <v>67</v>
      </c>
      <c r="C4" s="16" t="str">
        <f>HYPERLINK("https://auth0.com/docs/logout#redirect-users-after-logout","Redirect Users After Logout")</f>
        <v>Redirect Users After Logout</v>
      </c>
      <c r="D4" s="10"/>
      <c r="E4" s="10"/>
    </row>
    <row r="5" spans="1:5" ht="28" x14ac:dyDescent="0.15">
      <c r="A5" s="8" t="s">
        <v>68</v>
      </c>
      <c r="B5" s="15" t="s">
        <v>69</v>
      </c>
      <c r="C5" s="16" t="s">
        <v>70</v>
      </c>
      <c r="D5" s="10"/>
      <c r="E5" s="10"/>
    </row>
    <row r="6" spans="1:5" ht="56" x14ac:dyDescent="0.15">
      <c r="A6" s="8" t="s">
        <v>71</v>
      </c>
      <c r="B6" s="9" t="s">
        <v>72</v>
      </c>
      <c r="C6" s="16" t="s">
        <v>73</v>
      </c>
      <c r="E6" s="10"/>
    </row>
    <row r="7" spans="1:5" ht="56" x14ac:dyDescent="0.15">
      <c r="A7" s="8" t="s">
        <v>74</v>
      </c>
      <c r="B7" s="9" t="s">
        <v>75</v>
      </c>
      <c r="C7" s="16" t="str">
        <f>HYPERLINK("https://auth0.com/docs/extensions/realtime-webtask-logs","Real-time Webtask Logs")</f>
        <v>Real-time Webtask Logs</v>
      </c>
      <c r="D7" s="10"/>
      <c r="E7" s="10"/>
    </row>
    <row r="8" spans="1:5" ht="13" x14ac:dyDescent="0.15">
      <c r="A8" s="33" t="str">
        <f>HYPERLINK("https://auth0.com/docs/application-auth/current","User Authentication")</f>
        <v>User Authentication</v>
      </c>
      <c r="B8" s="34"/>
      <c r="C8" s="34"/>
      <c r="D8" s="34"/>
      <c r="E8" s="35"/>
    </row>
    <row r="9" spans="1:5" ht="29" x14ac:dyDescent="0.2">
      <c r="A9" s="8" t="s">
        <v>76</v>
      </c>
      <c r="B9" s="9" t="s">
        <v>77</v>
      </c>
      <c r="C9" s="6" t="str">
        <f>HYPERLINK("https://auth0.com/docs/users/guides/redirect-users-after-login","Redirect Users After Login")</f>
        <v>Redirect Users After Login</v>
      </c>
      <c r="D9" s="10"/>
      <c r="E9" s="10"/>
    </row>
    <row r="10" spans="1:5" ht="13" x14ac:dyDescent="0.15">
      <c r="A10" s="33" t="str">
        <f>HYPERLINK("https://auth0.com/docs/support/testing","Quality Assurance")</f>
        <v>Quality Assurance</v>
      </c>
      <c r="B10" s="34"/>
      <c r="C10" s="34"/>
      <c r="D10" s="34"/>
      <c r="E10" s="35"/>
    </row>
    <row r="11" spans="1:5" ht="45" customHeight="1" x14ac:dyDescent="0.15">
      <c r="A11" s="8" t="s">
        <v>78</v>
      </c>
      <c r="B11" s="17" t="s">
        <v>79</v>
      </c>
      <c r="C11" s="6" t="str">
        <f>HYPERLINK("https://auth0.com/docs/support/testing#performance-testing","Performance Testing")</f>
        <v>Performance Testing</v>
      </c>
      <c r="D11" s="10"/>
      <c r="E11" s="10"/>
    </row>
    <row r="12" spans="1:5" ht="32" customHeight="1" x14ac:dyDescent="0.15">
      <c r="A12" s="8" t="s">
        <v>80</v>
      </c>
      <c r="B12" s="18" t="s">
        <v>81</v>
      </c>
      <c r="C12" s="6" t="str">
        <f>HYPERLINK("https://auth0.com/docs/support/testing#third-party-testing-tools","Third-Party Testing Tools")</f>
        <v>Third-Party Testing Tools</v>
      </c>
      <c r="D12" s="10"/>
      <c r="E12" s="10"/>
    </row>
    <row r="13" spans="1:5" ht="56" x14ac:dyDescent="0.15">
      <c r="A13" s="8" t="s">
        <v>82</v>
      </c>
      <c r="B13" s="5" t="s">
        <v>83</v>
      </c>
      <c r="C13" s="6" t="str">
        <f>HYPERLINK("https://auth0.com/docs/policies/load-testing#how-to-request","How to Request Load Testing")</f>
        <v>How to Request Load Testing</v>
      </c>
      <c r="D13" s="10"/>
      <c r="E13" s="10"/>
    </row>
    <row r="14" spans="1:5" ht="14" x14ac:dyDescent="0.15">
      <c r="A14" s="39" t="s">
        <v>84</v>
      </c>
      <c r="B14" s="40" t="s">
        <v>85</v>
      </c>
      <c r="C14" s="6" t="str">
        <f>HYPERLINK("https://auth0.com/docs/policies/load-testing","Load Testing Policy")</f>
        <v>Load Testing Policy</v>
      </c>
      <c r="D14" s="10"/>
      <c r="E14" s="10"/>
    </row>
    <row r="15" spans="1:5" ht="35.25" customHeight="1" x14ac:dyDescent="0.15">
      <c r="A15" s="37"/>
      <c r="B15" s="37"/>
      <c r="C15" s="6" t="str">
        <f>HYPERLINK("https://auth0.com/docs/policies/load-testing#test-requirements","Load Testing Requirements")</f>
        <v>Load Testing Requirements</v>
      </c>
      <c r="D15" s="10"/>
      <c r="E15" s="10"/>
    </row>
    <row r="16" spans="1:5" ht="56" x14ac:dyDescent="0.15">
      <c r="A16" s="8" t="s">
        <v>86</v>
      </c>
      <c r="B16" s="5" t="s">
        <v>87</v>
      </c>
      <c r="C16" s="6" t="str">
        <f t="shared" ref="C16:C17" si="0">HYPERLINK("https://auth0.com/docs/support/testing","Testing Your Auth0 Implementation")</f>
        <v>Testing Your Auth0 Implementation</v>
      </c>
      <c r="D16" s="10"/>
      <c r="E16" s="10"/>
    </row>
    <row r="17" spans="1:5" ht="70" x14ac:dyDescent="0.15">
      <c r="A17" s="8" t="s">
        <v>88</v>
      </c>
      <c r="B17" s="5" t="s">
        <v>89</v>
      </c>
      <c r="C17" s="6" t="str">
        <f t="shared" si="0"/>
        <v>Testing Your Auth0 Implementation</v>
      </c>
      <c r="D17" s="10"/>
      <c r="E17" s="10"/>
    </row>
  </sheetData>
  <mergeCells count="5">
    <mergeCell ref="A2:E2"/>
    <mergeCell ref="A8:E8"/>
    <mergeCell ref="A10:E10"/>
    <mergeCell ref="A14:A15"/>
    <mergeCell ref="B14:B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C9A3-5715-8741-BEB6-F67E334ECB33}">
  <sheetPr>
    <outlinePr summaryBelow="0" summaryRight="0"/>
  </sheetPr>
  <dimension ref="A1:AA31"/>
  <sheetViews>
    <sheetView topLeftCell="A24" workbookViewId="0">
      <selection activeCell="E31" sqref="A1:E31"/>
    </sheetView>
  </sheetViews>
  <sheetFormatPr baseColWidth="10" defaultColWidth="14.5" defaultRowHeight="15.75" customHeight="1" x14ac:dyDescent="0.15"/>
  <cols>
    <col min="1" max="1" width="14.5" style="3"/>
    <col min="2" max="2" width="49.1640625" style="3" customWidth="1"/>
    <col min="3" max="4" width="21" style="3" customWidth="1"/>
    <col min="5" max="5" width="46.83203125" style="3" customWidth="1"/>
    <col min="6" max="16384" width="14.5" style="3"/>
  </cols>
  <sheetData>
    <row r="1" spans="1:5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customHeight="1" x14ac:dyDescent="0.15">
      <c r="A2" s="33" t="str">
        <f>HYPERLINK("https://auth0.com/docs/architecture-scenarios","Architecture")</f>
        <v>Architecture</v>
      </c>
      <c r="B2" s="34"/>
      <c r="C2" s="34"/>
      <c r="D2" s="34"/>
      <c r="E2" s="35"/>
    </row>
    <row r="3" spans="1:5" ht="43" customHeight="1" x14ac:dyDescent="0.15">
      <c r="A3" s="19" t="s">
        <v>90</v>
      </c>
      <c r="B3" s="5" t="s">
        <v>91</v>
      </c>
      <c r="C3" s="6" t="str">
        <f t="shared" ref="C3:C4" si="0">HYPERLINK("https://auth0.com/docs/dashboard/manage-dashboard-admins","Manage Tenant Administrators in the Dashboard")</f>
        <v>Manage Tenant Administrators in the Dashboard</v>
      </c>
      <c r="D3" s="10"/>
      <c r="E3" s="10"/>
    </row>
    <row r="4" spans="1:5" ht="43" customHeight="1" x14ac:dyDescent="0.15">
      <c r="A4" s="19" t="s">
        <v>92</v>
      </c>
      <c r="B4" s="15" t="s">
        <v>93</v>
      </c>
      <c r="C4" s="6" t="str">
        <f t="shared" si="0"/>
        <v>Manage Tenant Administrators in the Dashboard</v>
      </c>
      <c r="D4" s="10"/>
      <c r="E4" s="10"/>
    </row>
    <row r="5" spans="1:5" ht="53" customHeight="1" x14ac:dyDescent="0.15">
      <c r="A5" s="19" t="s">
        <v>94</v>
      </c>
      <c r="B5" s="15" t="s">
        <v>95</v>
      </c>
      <c r="C5" s="16" t="str">
        <f>HYPERLINK("https://auth0.com/docs/dashboard/manage-dashboard-admins#enrolling-in-multi-factor-authentication","Enrolling in Multi-factor Authentication")</f>
        <v>Enrolling in Multi-factor Authentication</v>
      </c>
      <c r="D5" s="10"/>
      <c r="E5" s="10"/>
    </row>
    <row r="6" spans="1:5" ht="64" customHeight="1" x14ac:dyDescent="0.15">
      <c r="A6" s="19" t="s">
        <v>96</v>
      </c>
      <c r="B6" s="9" t="s">
        <v>97</v>
      </c>
      <c r="C6" s="16" t="str">
        <f t="shared" ref="C6:C7" si="1">HYPERLINK("https://auth0.com/docs/dashboard/dashboard-tenant-settings#settings","Tenant Settings in the Dashboard")</f>
        <v>Tenant Settings in the Dashboard</v>
      </c>
      <c r="D6" s="10"/>
      <c r="E6" s="10"/>
    </row>
    <row r="7" spans="1:5" ht="65" customHeight="1" x14ac:dyDescent="0.15">
      <c r="A7" s="19" t="s">
        <v>98</v>
      </c>
      <c r="B7" s="9" t="s">
        <v>99</v>
      </c>
      <c r="C7" s="16" t="str">
        <f t="shared" si="1"/>
        <v>Tenant Settings in the Dashboard</v>
      </c>
      <c r="D7" s="10"/>
      <c r="E7" s="10"/>
    </row>
    <row r="8" spans="1:5" ht="45" customHeight="1" x14ac:dyDescent="0.15">
      <c r="A8" s="19" t="s">
        <v>100</v>
      </c>
      <c r="B8" s="20" t="s">
        <v>101</v>
      </c>
      <c r="C8" s="16" t="str">
        <f>HYPERLINK("https://auth0.com/docs/sso/current/configure-session-lifetime-limits","Configure Session Lifetime Limits for Single Sign On")</f>
        <v>Configure Session Lifetime Limits for Single Sign On</v>
      </c>
      <c r="D8" s="10"/>
      <c r="E8" s="10"/>
    </row>
    <row r="9" spans="1:5" ht="47" customHeight="1" x14ac:dyDescent="0.15">
      <c r="A9" s="19" t="s">
        <v>102</v>
      </c>
      <c r="B9" s="21" t="s">
        <v>103</v>
      </c>
      <c r="C9" s="16" t="str">
        <f>HYPERLINK("https://auth0.com/docs/logout#redirect-users-after-logout","Redirect Users After Logout")</f>
        <v>Redirect Users After Logout</v>
      </c>
      <c r="D9" s="10"/>
      <c r="E9" s="10"/>
    </row>
    <row r="10" spans="1:5" ht="49" customHeight="1" x14ac:dyDescent="0.15">
      <c r="A10" s="19" t="s">
        <v>104</v>
      </c>
      <c r="B10" s="9" t="s">
        <v>105</v>
      </c>
      <c r="C10" s="16" t="str">
        <f>HYPERLINK("https://auth0.com/docs/dev-lifecycle/setting-up-env#set-the-environment","Set the Environment")</f>
        <v>Set the Environment</v>
      </c>
      <c r="D10" s="10"/>
      <c r="E10" s="10"/>
    </row>
    <row r="11" spans="1:5" ht="59" customHeight="1" x14ac:dyDescent="0.15">
      <c r="A11" s="19" t="s">
        <v>106</v>
      </c>
      <c r="B11" s="12" t="s">
        <v>107</v>
      </c>
      <c r="C11" s="16" t="str">
        <f>HYPERLINK("https://auth0.com/docs/pre-deployment/how-to-run-test","How to Run the Production Checks")</f>
        <v>How to Run the Production Checks</v>
      </c>
      <c r="D11" s="10"/>
      <c r="E11" s="10"/>
    </row>
    <row r="12" spans="1:5" ht="47" customHeight="1" x14ac:dyDescent="0.15">
      <c r="A12" s="19" t="s">
        <v>108</v>
      </c>
      <c r="B12" s="9" t="s">
        <v>109</v>
      </c>
      <c r="C12" s="16" t="str">
        <f>HYPERLINK("https://auth0.com/docs/pre-deployment/tests/best-practice","Production Checks: Best Practices")</f>
        <v>Production Checks: Best Practices</v>
      </c>
      <c r="D12" s="10"/>
      <c r="E12" s="10"/>
    </row>
    <row r="13" spans="1:5" ht="43" customHeight="1" x14ac:dyDescent="0.15">
      <c r="A13" s="19" t="s">
        <v>110</v>
      </c>
      <c r="B13" s="12" t="s">
        <v>111</v>
      </c>
      <c r="C13" s="16" t="str">
        <f>HYPERLINK("https://auth0.com/docs/anomaly-detection/guides/set-anomaly-detection-preferences","Set Anomaly Detection Preferences")</f>
        <v>Set Anomaly Detection Preferences</v>
      </c>
      <c r="D13" s="10"/>
      <c r="E13" s="10"/>
    </row>
    <row r="14" spans="1:5" ht="42" customHeight="1" x14ac:dyDescent="0.15">
      <c r="A14" s="19" t="s">
        <v>112</v>
      </c>
      <c r="B14" s="12" t="s">
        <v>113</v>
      </c>
      <c r="C14" s="16" t="str">
        <f>HYPERLINK("https://auth0.com/docs/extensions","Extensions")</f>
        <v>Extensions</v>
      </c>
      <c r="D14" s="10"/>
      <c r="E14" s="10"/>
    </row>
    <row r="15" spans="1:5" ht="15.75" customHeight="1" x14ac:dyDescent="0.15">
      <c r="A15" s="33" t="str">
        <f>HYPERLINK("https://auth0.com/docs/users","User Provisioning")</f>
        <v>User Provisioning</v>
      </c>
      <c r="B15" s="34"/>
      <c r="C15" s="34"/>
      <c r="D15" s="34"/>
      <c r="E15" s="35"/>
    </row>
    <row r="16" spans="1:5" ht="61" customHeight="1" x14ac:dyDescent="0.15">
      <c r="A16" s="8" t="s">
        <v>114</v>
      </c>
      <c r="B16" s="12" t="s">
        <v>115</v>
      </c>
      <c r="C16" s="6" t="str">
        <f>HYPERLINK("https://auth0.com/docs/best-practices/connection-settings#disable-user-signup-if-it-s-not-appropriate-for-each-database-connection","Disable user signup if it's not appropriate for each database connection")</f>
        <v>Disable user signup if it's not appropriate for each database connection</v>
      </c>
      <c r="D16" s="10"/>
      <c r="E16" s="10"/>
    </row>
    <row r="17" spans="1:27" ht="58" customHeight="1" x14ac:dyDescent="0.15">
      <c r="A17" s="8" t="s">
        <v>116</v>
      </c>
      <c r="B17" s="12" t="s">
        <v>117</v>
      </c>
      <c r="C17" s="16" t="str">
        <f>HYPERLINK("https://auth0.com/docs/best-practices/connection-settings#set-password-policy-for-database-connections","Set password policy for database connections")</f>
        <v>Set password policy for database connections</v>
      </c>
      <c r="D17" s="10"/>
      <c r="E17" s="10"/>
    </row>
    <row r="18" spans="1:27" ht="15.75" customHeight="1" x14ac:dyDescent="0.15">
      <c r="A18" s="33" t="str">
        <f>HYPERLINK("https://auth0.com/docs/application-auth/current","User Authentication")</f>
        <v>User Authentication</v>
      </c>
      <c r="B18" s="34"/>
      <c r="C18" s="34"/>
      <c r="D18" s="34"/>
      <c r="E18" s="35"/>
    </row>
    <row r="19" spans="1:27" ht="43" customHeight="1" x14ac:dyDescent="0.2">
      <c r="A19" s="11" t="s">
        <v>118</v>
      </c>
      <c r="B19" s="12" t="s">
        <v>119</v>
      </c>
      <c r="C19" s="6" t="str">
        <f>HYPERLINK("https://auth0.com/docs/users/guides/redirect-users-after-login","Redirect Users After Login")</f>
        <v>Redirect Users After Login</v>
      </c>
      <c r="D19" s="10"/>
      <c r="E19" s="10"/>
    </row>
    <row r="20" spans="1:27" ht="58" customHeight="1" x14ac:dyDescent="0.15">
      <c r="A20" s="11" t="s">
        <v>120</v>
      </c>
      <c r="B20" s="12" t="s">
        <v>121</v>
      </c>
      <c r="C20" s="6" t="str">
        <f>HYPERLINK("https://auth0.com/docs/applications/reference/grant-types-available","Available Grant Types")</f>
        <v>Available Grant Types</v>
      </c>
      <c r="D20" s="10"/>
      <c r="E20" s="10"/>
    </row>
    <row r="21" spans="1:27" ht="57" customHeight="1" x14ac:dyDescent="0.15">
      <c r="A21" s="11" t="s">
        <v>122</v>
      </c>
      <c r="B21" s="12" t="s">
        <v>123</v>
      </c>
      <c r="C21" s="6" t="str">
        <f>HYPERLINK("https://auth0.com/docs/connections/social/devkeys","Test Social Connections with Auth0 Developer Keys")</f>
        <v>Test Social Connections with Auth0 Developer Keys</v>
      </c>
      <c r="D21" s="10"/>
      <c r="E21" s="10"/>
    </row>
    <row r="22" spans="1:27" ht="55" customHeight="1" x14ac:dyDescent="0.15">
      <c r="A22" s="11" t="s">
        <v>124</v>
      </c>
      <c r="B22" s="12" t="s">
        <v>125</v>
      </c>
      <c r="C22" s="6" t="str">
        <f>HYPERLINK("https://auth0.com/docs/best-practices/connection-settings#review-requested-data","Review requested data")</f>
        <v>Review requested data</v>
      </c>
      <c r="D22" s="10"/>
      <c r="E22" s="10"/>
    </row>
    <row r="23" spans="1:27" ht="58" customHeight="1" x14ac:dyDescent="0.15">
      <c r="A23" s="11" t="s">
        <v>126</v>
      </c>
      <c r="B23" s="12" t="s">
        <v>127</v>
      </c>
      <c r="C23" s="6" t="str">
        <f>HYPERLINK("https://auth0.com/docs/best-practices/connection-settings#use-rsa-sha256-for-saml-connections","Use RSA-SHA256 for SAML connections")</f>
        <v>Use RSA-SHA256 for SAML connections</v>
      </c>
      <c r="D23" s="10"/>
      <c r="E23" s="10"/>
    </row>
    <row r="24" spans="1:27" ht="15.75" customHeight="1" x14ac:dyDescent="0.15">
      <c r="A24" s="33" t="str">
        <f>HYPERLINK("https://auth0.com/docs/users/concepts/overview-user-profile","User Profile Management")</f>
        <v>User Profile Management</v>
      </c>
      <c r="B24" s="34"/>
      <c r="C24" s="34"/>
      <c r="D24" s="34"/>
      <c r="E24" s="35"/>
    </row>
    <row r="25" spans="1:27" ht="57" customHeight="1" x14ac:dyDescent="0.15">
      <c r="A25" s="8" t="s">
        <v>128</v>
      </c>
      <c r="B25" s="15" t="s">
        <v>129</v>
      </c>
      <c r="C25" s="6" t="str">
        <f>HYPERLINK("https://auth0.com/docs/best-practices/connection-settings#set-password-policy-for-database-connections","Set password policy for database connections")</f>
        <v>Set password policy for database connections</v>
      </c>
      <c r="D25" s="10"/>
      <c r="E25" s="10"/>
    </row>
    <row r="26" spans="1:27" ht="20" customHeight="1" x14ac:dyDescent="0.15">
      <c r="A26" s="33" t="str">
        <f>HYPERLINK("https://auth0.com/docs/logout","User Logout")</f>
        <v>User Logout</v>
      </c>
      <c r="B26" s="34"/>
      <c r="C26" s="34"/>
      <c r="D26" s="34"/>
      <c r="E26" s="35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51" customHeight="1" x14ac:dyDescent="0.15">
      <c r="A27" s="8" t="s">
        <v>130</v>
      </c>
      <c r="B27" s="15" t="s">
        <v>131</v>
      </c>
      <c r="C27" s="6" t="str">
        <f>HYPERLINK("https://auth0.com/docs/logout#redirect-users-after-logout","Redirect users after logout")</f>
        <v>Redirect users after logout</v>
      </c>
      <c r="D27" s="10"/>
      <c r="E27" s="10"/>
    </row>
    <row r="28" spans="1:27" ht="47" customHeight="1" x14ac:dyDescent="0.15">
      <c r="A28" s="41" t="s">
        <v>132</v>
      </c>
      <c r="B28" s="34"/>
      <c r="C28" s="34"/>
      <c r="D28" s="34"/>
      <c r="E28" s="35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81" customHeight="1" x14ac:dyDescent="0.15">
      <c r="A29" s="8" t="s">
        <v>133</v>
      </c>
      <c r="B29" s="15" t="s">
        <v>134</v>
      </c>
      <c r="C29" s="6" t="str">
        <f>HYPERLINK("https://community.auth0.com/t/how-to-unit-test-rules-as-part-of-ci-cd-pipeline/22424","How to unit test rules as part of CI/CD pipeline")</f>
        <v>How to unit test rules as part of CI/CD pipeline</v>
      </c>
      <c r="D29" s="10"/>
      <c r="E29" s="10"/>
    </row>
    <row r="30" spans="1:27" ht="76" customHeight="1" x14ac:dyDescent="0.15">
      <c r="A30" s="8" t="s">
        <v>135</v>
      </c>
      <c r="B30" s="15" t="s">
        <v>136</v>
      </c>
      <c r="C30" s="6" t="str">
        <f>HYPERLINK("https://auth0.com/docs/hooks","Hooks")</f>
        <v>Hooks</v>
      </c>
      <c r="D30" s="10"/>
      <c r="E30" s="10"/>
    </row>
    <row r="31" spans="1:27" ht="86" customHeight="1" x14ac:dyDescent="0.15">
      <c r="A31" s="8" t="s">
        <v>137</v>
      </c>
      <c r="B31" s="15" t="s">
        <v>138</v>
      </c>
      <c r="C31" s="6" t="str">
        <f>HYPERLINK("https://auth0.com/docs/connections/database/custom-db/error-handling","Custom Database Error Handling and Troubleshooting")</f>
        <v>Custom Database Error Handling and Troubleshooting</v>
      </c>
      <c r="D31" s="10"/>
      <c r="E31" s="10"/>
    </row>
  </sheetData>
  <mergeCells count="6">
    <mergeCell ref="A28:E28"/>
    <mergeCell ref="A2:E2"/>
    <mergeCell ref="A15:E15"/>
    <mergeCell ref="A18:E18"/>
    <mergeCell ref="A24:E24"/>
    <mergeCell ref="A26:E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EEF7-A027-A541-A10E-BABD879E7031}">
  <sheetPr>
    <pageSetUpPr fitToPage="1"/>
  </sheetPr>
  <dimension ref="A1:AA9"/>
  <sheetViews>
    <sheetView showGridLines="0" workbookViewId="0">
      <selection sqref="A1:E9"/>
    </sheetView>
  </sheetViews>
  <sheetFormatPr baseColWidth="10" defaultColWidth="14.5" defaultRowHeight="15.75" customHeight="1" x14ac:dyDescent="0.15"/>
  <cols>
    <col min="1" max="1" width="14.5" style="26" customWidth="1"/>
    <col min="2" max="2" width="49.1640625" style="26" customWidth="1"/>
    <col min="3" max="4" width="21" style="26" customWidth="1"/>
    <col min="5" max="5" width="46.83203125" style="26" customWidth="1"/>
    <col min="6" max="28" width="14.5" style="26" customWidth="1"/>
    <col min="29" max="16384" width="14.5" style="26"/>
  </cols>
  <sheetData>
    <row r="1" spans="1:27" ht="16.5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27" ht="13.75" customHeight="1" x14ac:dyDescent="0.15">
      <c r="A2" s="42" t="s">
        <v>139</v>
      </c>
      <c r="B2" s="43"/>
      <c r="C2" s="44"/>
      <c r="D2" s="44"/>
      <c r="E2" s="45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spans="1:27" ht="63" customHeight="1" x14ac:dyDescent="0.15">
      <c r="A3" s="27" t="s">
        <v>140</v>
      </c>
      <c r="B3" s="28" t="s">
        <v>141</v>
      </c>
      <c r="C3" s="29" t="str">
        <f>HYPERLINK("https://auth0.com/docs/dashboard/dashboard-tenant-settings","Tenant Settings in the Auth0 Dashboard")</f>
        <v>Tenant Settings in the Auth0 Dashboard</v>
      </c>
      <c r="D3" s="30"/>
      <c r="E3" s="30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51" customHeight="1" x14ac:dyDescent="0.15">
      <c r="A4" s="27" t="s">
        <v>142</v>
      </c>
      <c r="B4" s="28" t="s">
        <v>143</v>
      </c>
      <c r="C4" s="29" t="str">
        <f>HYPERLINK("https://auth0.com/docs/security/bulletins","Auth0 Security Bulletins")</f>
        <v>Auth0 Security Bulletins</v>
      </c>
      <c r="D4" s="30"/>
      <c r="E4" s="30"/>
      <c r="F4" s="24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ht="38" customHeight="1" x14ac:dyDescent="0.15">
      <c r="A5" s="27" t="s">
        <v>144</v>
      </c>
      <c r="B5" s="31" t="s">
        <v>145</v>
      </c>
      <c r="C5" s="29" t="str">
        <f>HYPERLINK("https://status.auth0.com","Auth0 Status")</f>
        <v>Auth0 Status</v>
      </c>
      <c r="D5" s="30"/>
      <c r="E5" s="30"/>
      <c r="F5" s="24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38" customHeight="1" x14ac:dyDescent="0.15">
      <c r="A6" s="27" t="s">
        <v>146</v>
      </c>
      <c r="B6" s="31" t="s">
        <v>147</v>
      </c>
      <c r="C6" s="29" t="str">
        <f>HYPERLINK("https://uptime.auth0.com","Auth0 Uptime")</f>
        <v>Auth0 Uptime</v>
      </c>
      <c r="D6" s="30"/>
      <c r="E6" s="30"/>
      <c r="F6" s="24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spans="1:27" ht="38" customHeight="1" x14ac:dyDescent="0.15">
      <c r="A7" s="27" t="s">
        <v>148</v>
      </c>
      <c r="B7" s="31" t="s">
        <v>149</v>
      </c>
      <c r="C7" s="29" t="str">
        <f>HYPERLINK("https://auth0.com/docs/logs#what-can-i-use-logs-for-","What can I use logs for?")</f>
        <v>What can I use logs for?</v>
      </c>
      <c r="D7" s="30"/>
      <c r="E7" s="30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38" customHeight="1" x14ac:dyDescent="0.15">
      <c r="A8" s="27" t="s">
        <v>150</v>
      </c>
      <c r="B8" s="31" t="s">
        <v>151</v>
      </c>
      <c r="C8" s="29" t="str">
        <f>HYPERLINK("https://auth0.com/docs/extensions#export-auth0-logs-to-an-external-service","Export Auth0 logs to an external service")</f>
        <v>Export Auth0 logs to an external service</v>
      </c>
      <c r="D8" s="30"/>
      <c r="E8" s="30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spans="1:27" ht="51" customHeight="1" x14ac:dyDescent="0.15">
      <c r="A9" s="27" t="s">
        <v>152</v>
      </c>
      <c r="B9" s="32" t="s">
        <v>153</v>
      </c>
      <c r="C9" s="29" t="str">
        <f>HYPERLINK("https://auth0.com/docs/monitoring/guides/check-external-services","Check External Services Status")</f>
        <v>Check External Services Status</v>
      </c>
      <c r="D9" s="30"/>
      <c r="E9" s="30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</sheetData>
  <mergeCells count="1">
    <mergeCell ref="A2:E2"/>
  </mergeCells>
  <hyperlinks>
    <hyperlink ref="C3" r:id="rId1" display="Tenant Settings in the Auth0 Dashboard" xr:uid="{D81FE364-492C-114F-B3D2-BBA86F56126E}"/>
    <hyperlink ref="C4" r:id="rId2" display="Auth0 Security Bulletins" xr:uid="{7D71C124-1EA2-D242-9A10-2BEC5073C94D}"/>
    <hyperlink ref="C5" r:id="rId3" display="Auth0 Status" xr:uid="{3DD851BB-2ABB-1744-B39F-BF5D6894C1C5}"/>
    <hyperlink ref="C6" r:id="rId4" display="Auth0 Uptime" xr:uid="{93449855-DA10-6542-8666-8F92DF2FB3B2}"/>
    <hyperlink ref="C7" r:id="rId5" location="what-can-i-use-logs-for-" display="What can I use logs for?" xr:uid="{81D44806-7F2F-FA4E-BD4A-A1CCFB481B75}"/>
    <hyperlink ref="C8" r:id="rId6" location="export-auth0-logs-to-an-external-service" display="Export Auth0 logs to an external service" xr:uid="{B5A662E8-B47C-4947-A263-88C846069411}"/>
    <hyperlink ref="C9" r:id="rId7" display="Check External Services Status" xr:uid="{7F6D3252-6BB2-EA45-8D41-933868E39897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Analyze</vt:lpstr>
      <vt:lpstr>Design</vt:lpstr>
      <vt:lpstr>Build</vt:lpstr>
      <vt:lpstr>Test</vt:lpstr>
      <vt:lpstr>Deploy</vt:lpstr>
      <vt:lpstr>Monitor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Pavlo Vilenchyk</cp:lastModifiedBy>
  <dcterms:created xsi:type="dcterms:W3CDTF">2025-11-03T12:14:51Z</dcterms:created>
  <dcterms:modified xsi:type="dcterms:W3CDTF">2025-11-14T12:33:44Z</dcterms:modified>
</cp:coreProperties>
</file>